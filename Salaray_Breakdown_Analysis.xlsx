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FC7F87A5-37AC-4D55-BFE7-6AA4CE676CA6}" xr6:coauthVersionLast="47" xr6:coauthVersionMax="47" xr10:uidLastSave="{00000000-0000-0000-0000-000000000000}"/>
  <bookViews>
    <workbookView xWindow="39810" yWindow="2415" windowWidth="35595" windowHeight="15345" xr2:uid="{5DEC0479-A997-4C84-988A-5D2FAA7FE3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" l="1"/>
  <c r="F4" i="1"/>
  <c r="F2" i="1"/>
  <c r="J3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tc={F50BBF3F-D9D3-4EB8-A86E-E0EDA2A47EAD}</author>
  </authors>
  <commentList>
    <comment ref="E5" authorId="0" shapeId="0" xr:uid="{F50BBF3F-D9D3-4EB8-A86E-E0EDA2A47EAD}">
      <text>
        <t>[Threaded comment]
Your version of Excel allows you to read this threaded comment; however, any edits to it will get removed if the file is opened in a newer version of Excel. Learn more: https://go.microsoft.com/fwlink/?linkid=870924
Comment:
    Non-linear accumulation equation</t>
      </text>
    </comment>
  </commentList>
</comments>
</file>

<file path=xl/sharedStrings.xml><?xml version="1.0" encoding="utf-8"?>
<sst xmlns="http://schemas.openxmlformats.org/spreadsheetml/2006/main" count="24" uniqueCount="23">
  <si>
    <t>Fuel economy (mile / gal)</t>
  </si>
  <si>
    <t>Fuel ($ / gal)</t>
  </si>
  <si>
    <t>Oil change interval (miles)</t>
  </si>
  <si>
    <t>OIl change amount ($)</t>
  </si>
  <si>
    <t>Tires ($)</t>
  </si>
  <si>
    <t>Tire life (miles)</t>
  </si>
  <si>
    <t>Brakes &amp; rotors life (miles)</t>
  </si>
  <si>
    <t>Brakes &amp; rotors
(including labor) ($)</t>
  </si>
  <si>
    <t>Weekly car wash ($)</t>
  </si>
  <si>
    <t>Fuel</t>
  </si>
  <si>
    <t>Oil</t>
  </si>
  <si>
    <t>Brakes</t>
  </si>
  <si>
    <t>Misc Auto</t>
  </si>
  <si>
    <t>Gross annual pay ($)</t>
  </si>
  <si>
    <t>Gross hourly pay ($)</t>
  </si>
  <si>
    <t>Daily commute (miles)</t>
  </si>
  <si>
    <t>Days-In-Office (#)</t>
  </si>
  <si>
    <t>Drive Related</t>
  </si>
  <si>
    <t>Annual (office) mileage (#)</t>
  </si>
  <si>
    <t>Pay Related</t>
  </si>
  <si>
    <t>Health Insurance Related</t>
  </si>
  <si>
    <t>Weekly Out-Of-Pocket</t>
  </si>
  <si>
    <t>Emotional Wear Coefficient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</si>
</sst>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2" borderId="2" xfId="0" applyFill="1" applyBorder="1" applyAlignment="1">
      <alignment horizontal="right"/>
    </xf>
    <xf numFmtId="40" fontId="0" fillId="2" borderId="0" xfId="0" applyNumberFormat="1" applyFill="1" applyAlignment="1">
      <alignment horizontal="right"/>
    </xf>
    <xf numFmtId="0" fontId="0" fillId="3" borderId="3" xfId="0" applyFill="1" applyBorder="1" applyAlignment="1">
      <alignment horizontal="right"/>
    </xf>
    <xf numFmtId="40" fontId="0" fillId="3" borderId="0" xfId="0" applyNumberFormat="1" applyFill="1" applyAlignment="1">
      <alignment horizontal="right"/>
    </xf>
    <xf numFmtId="0" fontId="0" fillId="2" borderId="2" xfId="0" applyFill="1" applyBorder="1" applyAlignment="1">
      <alignment horizontal="right" wrapText="1"/>
    </xf>
    <xf numFmtId="0" fontId="0" fillId="2" borderId="3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Stuart" id="{73CAEDEA-062E-4F9A-9E52-726A508A0712}" userId="S::nstuart@uwm.com::bf978106-d576-4365-89bb-bb053c50c01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" dT="2026-09-01T11:42:03.43" personId="{73CAEDEA-062E-4F9A-9E52-726A508A0712}" id="{F50BBF3F-D9D3-4EB8-A86E-E0EDA2A47EAD}">
    <text>Non-linear accumulation equation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BCDC-0F36-4605-9774-C1621DC87D5B}">
  <dimension ref="A1:J18"/>
  <sheetViews>
    <sheetView tabSelected="1" workbookViewId="0">
      <selection activeCell="E6" sqref="E6"/>
    </sheetView>
  </sheetViews>
  <sheetFormatPr defaultRowHeight="15" x14ac:dyDescent="0.25"/>
  <cols>
    <col min="1" max="1" width="27.42578125" bestFit="1" customWidth="1"/>
    <col min="2" max="2" width="10.85546875" bestFit="1" customWidth="1"/>
    <col min="5" max="5" width="26" bestFit="1" customWidth="1"/>
    <col min="6" max="6" width="9.85546875" bestFit="1" customWidth="1"/>
    <col min="9" max="9" width="27.42578125" bestFit="1" customWidth="1"/>
    <col min="10" max="10" width="10.85546875" bestFit="1" customWidth="1"/>
  </cols>
  <sheetData>
    <row r="1" spans="1:10" ht="18" thickBot="1" x14ac:dyDescent="0.35">
      <c r="A1" s="1" t="s">
        <v>9</v>
      </c>
      <c r="B1" s="2"/>
      <c r="E1" s="1" t="s">
        <v>17</v>
      </c>
      <c r="F1" s="2"/>
      <c r="I1" s="1" t="s">
        <v>19</v>
      </c>
      <c r="J1" s="2"/>
    </row>
    <row r="2" spans="1:10" x14ac:dyDescent="0.25">
      <c r="A2" s="3" t="s">
        <v>1</v>
      </c>
      <c r="B2" s="4">
        <v>4.5</v>
      </c>
      <c r="E2" s="3" t="s">
        <v>15</v>
      </c>
      <c r="F2" s="4">
        <f>45*2</f>
        <v>90</v>
      </c>
      <c r="I2" s="3" t="s">
        <v>13</v>
      </c>
      <c r="J2" s="4">
        <v>130000</v>
      </c>
    </row>
    <row r="3" spans="1:10" x14ac:dyDescent="0.25">
      <c r="A3" s="5" t="s">
        <v>0</v>
      </c>
      <c r="B3" s="6">
        <v>42</v>
      </c>
      <c r="E3" s="5" t="s">
        <v>16</v>
      </c>
      <c r="F3" s="6">
        <v>5</v>
      </c>
      <c r="I3" s="5" t="s">
        <v>14</v>
      </c>
      <c r="J3" s="6">
        <f>J2/2080</f>
        <v>62.5</v>
      </c>
    </row>
    <row r="4" spans="1:10" x14ac:dyDescent="0.25">
      <c r="E4" s="8" t="s">
        <v>18</v>
      </c>
      <c r="F4" s="4">
        <f>F2*F3*52</f>
        <v>23400</v>
      </c>
    </row>
    <row r="5" spans="1:10" ht="18" thickBot="1" x14ac:dyDescent="0.35">
      <c r="A5" s="1" t="s">
        <v>10</v>
      </c>
      <c r="B5" s="2"/>
      <c r="E5" s="5" t="s">
        <v>22</v>
      </c>
      <c r="F5" s="6">
        <v>0</v>
      </c>
      <c r="I5" s="1" t="s">
        <v>20</v>
      </c>
      <c r="J5" s="2"/>
    </row>
    <row r="6" spans="1:10" x14ac:dyDescent="0.25">
      <c r="A6" s="3" t="s">
        <v>2</v>
      </c>
      <c r="B6" s="4">
        <v>3000</v>
      </c>
      <c r="I6" s="3" t="s">
        <v>21</v>
      </c>
      <c r="J6" s="4"/>
    </row>
    <row r="7" spans="1:10" x14ac:dyDescent="0.25">
      <c r="A7" s="5" t="s">
        <v>3</v>
      </c>
      <c r="B7" s="6">
        <f>(((4.2/12)*60)*4.2)+15</f>
        <v>103.20000000000002</v>
      </c>
    </row>
    <row r="9" spans="1:10" ht="18" thickBot="1" x14ac:dyDescent="0.35">
      <c r="A9" s="1" t="s">
        <v>4</v>
      </c>
      <c r="B9" s="2"/>
    </row>
    <row r="10" spans="1:10" x14ac:dyDescent="0.25">
      <c r="A10" s="3" t="s">
        <v>4</v>
      </c>
      <c r="B10" s="4"/>
    </row>
    <row r="11" spans="1:10" x14ac:dyDescent="0.25">
      <c r="A11" s="5" t="s">
        <v>5</v>
      </c>
      <c r="B11" s="6"/>
    </row>
    <row r="13" spans="1:10" ht="18" thickBot="1" x14ac:dyDescent="0.35">
      <c r="A13" s="1" t="s">
        <v>11</v>
      </c>
      <c r="B13" s="2"/>
    </row>
    <row r="14" spans="1:10" ht="30" x14ac:dyDescent="0.25">
      <c r="A14" s="7" t="s">
        <v>7</v>
      </c>
      <c r="B14" s="4"/>
    </row>
    <row r="15" spans="1:10" x14ac:dyDescent="0.25">
      <c r="A15" s="5" t="s">
        <v>6</v>
      </c>
      <c r="B15" s="6"/>
    </row>
    <row r="17" spans="1:2" ht="18" thickBot="1" x14ac:dyDescent="0.35">
      <c r="A17" s="1" t="s">
        <v>12</v>
      </c>
      <c r="B17" s="2"/>
    </row>
    <row r="18" spans="1:2" x14ac:dyDescent="0.25">
      <c r="A18" s="3" t="s">
        <v>8</v>
      </c>
      <c r="B18" s="4">
        <f>40/4</f>
        <v>10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2026-09-01T10:48:59Z</dcterms:created>
  <dcterms:modified xsi:type="dcterms:W3CDTF">2026-09-01T11:42:09Z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2026-09-01T10:53:12Z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c9a58efc-92f6-4980-ab4f-2655346452e5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