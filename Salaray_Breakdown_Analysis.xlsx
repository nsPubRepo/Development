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CE46F66-6841-4CC3-A063-6748F8F0331E}" xr6:coauthVersionLast="47" xr6:coauthVersionMax="47" xr10:uidLastSave="{00000000-0000-0000-0000-000000000000}"/>
  <bookViews>
    <workbookView xWindow="21480" yWindow="-120" windowWidth="21840" windowHeight="13740" xr2:uid="{5DEC0479-A997-4C84-988A-5D2FAA7FE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2" i="1"/>
  <c r="B10" i="1" l="1"/>
  <c r="B5" i="1"/>
  <c r="F5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tc={F50BBF3F-D9D3-4EB8-A86E-E0EDA2A47EAD}</author>
  </authors>
  <commentList>
    <comment ref="E6" authorId="0" shapeId="0" xr:uid="{F50BBF3F-D9D3-4EB8-A86E-E0EDA2A47EA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Non-linear accumulation equation</t>
        </r>
      </text>
    </comment>
  </commentList>
</comments>
</file>

<file path=xl/sharedStrings.xml><?xml version="1.0" encoding="utf-8"?>
<sst xmlns="http://schemas.openxmlformats.org/spreadsheetml/2006/main" count="21" uniqueCount="21">
  <si>
    <t>Fuel economy (mile / gal)</t>
  </si>
  <si>
    <t>Fuel ($ / gal)</t>
  </si>
  <si>
    <t>Oil change interval (miles)</t>
  </si>
  <si>
    <t>OIl change amount ($)</t>
  </si>
  <si>
    <t>Tires ($)</t>
  </si>
  <si>
    <t>Tire life (miles)</t>
  </si>
  <si>
    <t>Brakes &amp; rotors life (miles)</t>
  </si>
  <si>
    <t>Brakes &amp; rotors
(including labor) ($)</t>
  </si>
  <si>
    <t>Weekly car wash ($)</t>
  </si>
  <si>
    <t>Gross annual pay ($)</t>
  </si>
  <si>
    <t>Gross hourly pay ($)</t>
  </si>
  <si>
    <t>Daily commute (miles)</t>
  </si>
  <si>
    <t>Days-In-Office (#)</t>
  </si>
  <si>
    <t>Drive Related</t>
  </si>
  <si>
    <t>Annual (office) mileage (#)</t>
  </si>
  <si>
    <t>Pay Related</t>
  </si>
  <si>
    <t>Weekly Out-Of-Pocket</t>
  </si>
  <si>
    <t>Emotional Wear Coefficient</t>
  </si>
  <si>
    <t>Vehicle Related</t>
  </si>
  <si>
    <t>Weekly pay ($)</t>
  </si>
  <si>
    <t>Daily commute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</si>
</sst>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40" fontId="0" fillId="2" borderId="0" xfId="0" applyNumberFormat="1" applyFill="1" applyAlignment="1">
      <alignment horizontal="right"/>
    </xf>
    <xf numFmtId="0" fontId="0" fillId="3" borderId="2" xfId="0" applyFill="1" applyBorder="1" applyAlignment="1">
      <alignment horizontal="right"/>
    </xf>
    <xf numFmtId="40" fontId="0" fillId="3" borderId="0" xfId="0" applyNumberFormat="1" applyFill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2" xfId="0" applyFill="1" applyBorder="1" applyAlignment="1">
      <alignment horizontal="right" wrapText="1"/>
    </xf>
    <xf numFmtId="40" fontId="0" fillId="3" borderId="3" xfId="0" applyNumberFormat="1" applyFill="1" applyBorder="1" applyAlignment="1">
      <alignment horizontal="right"/>
    </xf>
    <xf numFmtId="40" fontId="0" fillId="2" borderId="3" xfId="0" applyNumberFormat="1" applyFill="1" applyBorder="1" applyAlignment="1">
      <alignment horizontal="right"/>
    </xf>
    <xf numFmtId="40" fontId="0" fillId="3" borderId="4" xfId="0" applyNumberFormat="1" applyFill="1" applyBorder="1" applyAlignment="1">
      <alignment horizontal="right"/>
    </xf>
    <xf numFmtId="40" fontId="0" fillId="2" borderId="4" xfId="0" applyNumberFormat="1" applyFill="1" applyBorder="1" applyAlignment="1">
      <alignment horizontal="right"/>
    </xf>
    <xf numFmtId="40" fontId="0" fillId="2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han Stuart" id="{73CAEDEA-062E-4F9A-9E52-726A508A0712}" userId="S::nstuart@uwm.com::bf978106-d576-4365-89bb-bb053c50c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9-01T11:42:03.43" personId="{73CAEDEA-062E-4F9A-9E52-726A508A0712}" id="{F50BBF3F-D9D3-4EB8-A86E-E0EDA2A47EAD}">
    <text>Non-linear accumulation equation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BCDC-0F36-4605-9774-C1621DC87D5B}">
  <dimension ref="A1:K10"/>
  <sheetViews>
    <sheetView tabSelected="1" workbookViewId="0"/>
  </sheetViews>
  <sheetFormatPr defaultRowHeight="15" x14ac:dyDescent="0.25"/>
  <cols>
    <col min="1" max="1" width="27.42578125" bestFit="1" customWidth="1"/>
    <col min="2" max="2" width="10.85546875" bestFit="1" customWidth="1"/>
    <col min="5" max="5" width="26" bestFit="1" customWidth="1"/>
    <col min="6" max="6" width="9.85546875" bestFit="1" customWidth="1"/>
    <col min="9" max="9" width="27.42578125" bestFit="1" customWidth="1"/>
    <col min="10" max="10" width="10.85546875" bestFit="1" customWidth="1"/>
  </cols>
  <sheetData>
    <row r="1" spans="1:11" ht="18" thickBot="1" x14ac:dyDescent="0.35">
      <c r="A1" s="1" t="s">
        <v>18</v>
      </c>
      <c r="B1" s="2"/>
      <c r="C1" s="2"/>
      <c r="E1" s="1" t="s">
        <v>13</v>
      </c>
      <c r="F1" s="2"/>
      <c r="G1" s="2"/>
      <c r="I1" s="1" t="s">
        <v>15</v>
      </c>
      <c r="J1" s="2"/>
      <c r="K1" s="2"/>
    </row>
    <row r="2" spans="1:11" x14ac:dyDescent="0.25">
      <c r="A2" s="6" t="s">
        <v>1</v>
      </c>
      <c r="B2" s="9">
        <v>4.5</v>
      </c>
      <c r="C2" s="11">
        <v>1</v>
      </c>
      <c r="E2" s="6" t="s">
        <v>11</v>
      </c>
      <c r="F2" s="9">
        <f>45*2</f>
        <v>90</v>
      </c>
      <c r="G2" s="11">
        <v>1</v>
      </c>
      <c r="I2" s="6" t="s">
        <v>9</v>
      </c>
      <c r="J2" s="12">
        <v>130000</v>
      </c>
      <c r="K2" s="11">
        <v>1</v>
      </c>
    </row>
    <row r="3" spans="1:11" x14ac:dyDescent="0.25">
      <c r="A3" s="4" t="s">
        <v>0</v>
      </c>
      <c r="B3" s="8">
        <v>42</v>
      </c>
      <c r="C3" s="10">
        <v>1</v>
      </c>
      <c r="E3" s="4" t="s">
        <v>20</v>
      </c>
      <c r="F3" s="8">
        <f>50*2</f>
        <v>100</v>
      </c>
      <c r="G3" s="10">
        <v>1</v>
      </c>
      <c r="I3" s="4" t="s">
        <v>10</v>
      </c>
      <c r="J3" s="5">
        <f>J2/2080</f>
        <v>62.5</v>
      </c>
      <c r="K3" s="10">
        <v>1</v>
      </c>
    </row>
    <row r="4" spans="1:11" x14ac:dyDescent="0.25">
      <c r="A4" s="6" t="s">
        <v>2</v>
      </c>
      <c r="B4" s="9">
        <v>3000</v>
      </c>
      <c r="C4" s="11">
        <v>1</v>
      </c>
      <c r="E4" s="6" t="s">
        <v>12</v>
      </c>
      <c r="F4" s="9">
        <v>5</v>
      </c>
      <c r="G4" s="11">
        <v>1</v>
      </c>
      <c r="I4" s="6" t="s">
        <v>16</v>
      </c>
      <c r="J4" s="3"/>
      <c r="K4" s="11">
        <v>1</v>
      </c>
    </row>
    <row r="5" spans="1:11" x14ac:dyDescent="0.25">
      <c r="A5" s="4" t="s">
        <v>3</v>
      </c>
      <c r="B5" s="8">
        <f>(((4.2/12)*60)*4.2)+15</f>
        <v>103.20000000000002</v>
      </c>
      <c r="C5" s="10">
        <v>1</v>
      </c>
      <c r="E5" s="4" t="s">
        <v>14</v>
      </c>
      <c r="F5" s="8">
        <f>F2*F4*52</f>
        <v>23400</v>
      </c>
      <c r="G5" s="10">
        <v>1</v>
      </c>
      <c r="I5" s="4" t="s">
        <v>19</v>
      </c>
      <c r="J5" s="5">
        <v>1200</v>
      </c>
      <c r="K5" s="10">
        <v>1</v>
      </c>
    </row>
    <row r="6" spans="1:11" x14ac:dyDescent="0.25">
      <c r="A6" s="6" t="s">
        <v>4</v>
      </c>
      <c r="B6" s="9">
        <v>650</v>
      </c>
      <c r="C6" s="11">
        <v>1</v>
      </c>
      <c r="E6" s="6" t="s">
        <v>17</v>
      </c>
      <c r="F6" s="9">
        <v>0</v>
      </c>
      <c r="G6" s="11">
        <v>1</v>
      </c>
    </row>
    <row r="7" spans="1:11" x14ac:dyDescent="0.25">
      <c r="A7" s="4" t="s">
        <v>5</v>
      </c>
      <c r="B7" s="8">
        <v>75000</v>
      </c>
      <c r="C7" s="10">
        <v>1</v>
      </c>
    </row>
    <row r="8" spans="1:11" ht="30" x14ac:dyDescent="0.25">
      <c r="A8" s="7" t="s">
        <v>7</v>
      </c>
      <c r="B8" s="9">
        <v>1200</v>
      </c>
      <c r="C8" s="11">
        <v>1</v>
      </c>
    </row>
    <row r="9" spans="1:11" x14ac:dyDescent="0.25">
      <c r="A9" s="4" t="s">
        <v>6</v>
      </c>
      <c r="B9" s="8">
        <v>60000</v>
      </c>
      <c r="C9" s="10">
        <v>1</v>
      </c>
    </row>
    <row r="10" spans="1:11" x14ac:dyDescent="0.25">
      <c r="A10" s="6" t="s">
        <v>8</v>
      </c>
      <c r="B10" s="9">
        <f>40/4</f>
        <v>10</v>
      </c>
      <c r="C10" s="11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Wholesale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Stuart</dc:creator>
  <cp:lastModifiedBy>Administrator</cp:lastModifiedBy>
  <dcterms:created xsi:type="dcterms:W3CDTF">2026-09-01T10:48:59Z</dcterms:created>
  <dcterms:modified xsi:type="dcterms:W3CDTF">2026-09-22T09:17:25Z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c92d4e-2488-4e27-8d11-718a63a2fa0f_Enabled">
    <vt:lpwstr>true</vt:lpwstr>
  </property>
  <property fmtid="{D5CDD505-2E9C-101B-9397-08002B2CF9AE}" pid="3" name="MSIP_Label_bcc92d4e-2488-4e27-8d11-718a63a2fa0f_SetDate">
    <vt:lpwstr>2026-09-01T10:53:12Z</vt:lpwstr>
  </property>
  <property fmtid="{D5CDD505-2E9C-101B-9397-08002B2CF9AE}" pid="4" name="MSIP_Label_bcc92d4e-2488-4e27-8d11-718a63a2fa0f_Method">
    <vt:lpwstr>Standard</vt:lpwstr>
  </property>
  <property fmtid="{D5CDD505-2E9C-101B-9397-08002B2CF9AE}" pid="5" name="MSIP_Label_bcc92d4e-2488-4e27-8d11-718a63a2fa0f_Name">
    <vt:lpwstr>bcc92d4e-2488-4e27-8d11-718a63a2fa0f</vt:lpwstr>
  </property>
  <property fmtid="{D5CDD505-2E9C-101B-9397-08002B2CF9AE}" pid="6" name="MSIP_Label_bcc92d4e-2488-4e27-8d11-718a63a2fa0f_SiteId">
    <vt:lpwstr>13d3189d-22a4-4f96-bbc9-2af46c222581</vt:lpwstr>
  </property>
  <property fmtid="{D5CDD505-2E9C-101B-9397-08002B2CF9AE}" pid="7" name="MSIP_Label_bcc92d4e-2488-4e27-8d11-718a63a2fa0f_ActionId">
    <vt:lpwstr>c9a58efc-92f6-4980-ab4f-2655346452e5</vt:lpwstr>
  </property>
  <property fmtid="{D5CDD505-2E9C-101B-9397-08002B2CF9AE}" pid="8" name="MSIP_Label_bcc92d4e-2488-4e27-8d11-718a63a2fa0f_ContentBits">
    <vt:lpwstr>0</vt:lpwstr>
  </property>
  <property fmtid="{D5CDD505-2E9C-101B-9397-08002B2CF9AE}" pid="9" name="MSIP_Label_bcc92d4e-2488-4e27-8d11-718a63a2fa0f_Tag">
    <vt:lpwstr>10, 3, 0, 1</vt:lpwstr>
  </property>
</Properties>
</file>