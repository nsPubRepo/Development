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drawings/drawing5.xml" ContentType="application/vnd.openxmlformats-officedocument.drawing+xml"/>
  <Override PartName="/xl/ctrlProps/ctrlProp5.xml" ContentType="application/vnd.ms-excel.controlproperties+xml"/>
  <Override PartName="/xl/drawings/drawing6.xml" ContentType="application/vnd.openxmlformats-officedocument.drawing+xml"/>
  <Override PartName="/xl/ctrlProps/ctrlProp6.xml" ContentType="application/vnd.ms-excel.controlproperties+xml"/>
  <Override PartName="/xl/drawings/drawing7.xml" ContentType="application/vnd.openxmlformats-officedocument.drawing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drawings/drawing9.xml" ContentType="application/vnd.openxmlformats-officedocument.drawing+xml"/>
  <Override PartName="/xl/ctrlProps/ctrlProp9.xml" ContentType="application/vnd.ms-excel.controlproperties+xml"/>
  <Override PartName="/xl/drawings/drawing10.xml" ContentType="application/vnd.openxmlformats-officedocument.drawing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U:\Misc\"/>
    </mc:Choice>
  </mc:AlternateContent>
  <xr:revisionPtr revIDLastSave="0" documentId="13_ncr:1_{D0B0B58B-60AD-46CA-8DBC-7D3BF79B65BE}" xr6:coauthVersionLast="47" xr6:coauthVersionMax="47" xr10:uidLastSave="{00000000-0000-0000-0000-000000000000}"/>
  <bookViews>
    <workbookView xWindow="3825" yWindow="0" windowWidth="22485" windowHeight="15285" xr2:uid="{00000000-000D-0000-FFFF-FFFF00000000}"/>
  </bookViews>
  <sheets>
    <sheet name="20241230" sheetId="26" r:id="rId1"/>
    <sheet name="20241223" sheetId="25" r:id="rId2"/>
    <sheet name="20241216" sheetId="24" r:id="rId3"/>
    <sheet name="20241209" sheetId="23" r:id="rId4"/>
    <sheet name="20241202" sheetId="22" r:id="rId5"/>
    <sheet name="20241125" sheetId="21" r:id="rId6"/>
    <sheet name="20241118" sheetId="20" r:id="rId7"/>
    <sheet name="20241111" sheetId="19" r:id="rId8"/>
    <sheet name="20241104" sheetId="18" r:id="rId9"/>
    <sheet name="20241028" sheetId="17" r:id="rId10"/>
    <sheet name="20241021" sheetId="16" r:id="rId11"/>
    <sheet name="20241014" sheetId="15" r:id="rId12"/>
    <sheet name="20241007" sheetId="14" r:id="rId13"/>
    <sheet name="20240930" sheetId="13" r:id="rId14"/>
    <sheet name="20240923" sheetId="12" r:id="rId15"/>
    <sheet name="20240916" sheetId="11" r:id="rId16"/>
    <sheet name="20240909" sheetId="10" r:id="rId17"/>
    <sheet name="20240903" sheetId="9" r:id="rId18"/>
    <sheet name="20240826" sheetId="8" r:id="rId19"/>
    <sheet name="20240819" sheetId="7" r:id="rId20"/>
    <sheet name="20240812" sheetId="6" r:id="rId21"/>
    <sheet name="20240805" sheetId="5" r:id="rId22"/>
    <sheet name="20240729" sheetId="4" r:id="rId23"/>
    <sheet name="20240722" sheetId="3" r:id="rId24"/>
    <sheet name="20240715" sheetId="1" r:id="rId25"/>
    <sheet name="20240708" sheetId="2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26" l="1"/>
  <c r="J6" i="26"/>
  <c r="H6" i="26"/>
  <c r="G6" i="26"/>
  <c r="I6" i="26" s="1"/>
  <c r="K5" i="26"/>
  <c r="J5" i="26"/>
  <c r="H5" i="26"/>
  <c r="G5" i="26"/>
  <c r="I5" i="26" s="1"/>
  <c r="K4" i="26"/>
  <c r="J4" i="26"/>
  <c r="H4" i="26"/>
  <c r="G4" i="26"/>
  <c r="J3" i="26"/>
  <c r="H3" i="26"/>
  <c r="G3" i="26"/>
  <c r="J2" i="26"/>
  <c r="H2" i="26"/>
  <c r="G2" i="26"/>
  <c r="I2" i="26" s="1"/>
  <c r="K6" i="25"/>
  <c r="J6" i="25"/>
  <c r="H6" i="25"/>
  <c r="G6" i="25"/>
  <c r="I6" i="25" s="1"/>
  <c r="J5" i="25"/>
  <c r="H5" i="25"/>
  <c r="G5" i="25"/>
  <c r="J4" i="25"/>
  <c r="H4" i="25"/>
  <c r="G4" i="25"/>
  <c r="I4" i="25" s="1"/>
  <c r="K4" i="25" s="1"/>
  <c r="J3" i="25"/>
  <c r="H3" i="25"/>
  <c r="G3" i="25"/>
  <c r="J2" i="25"/>
  <c r="H2" i="25"/>
  <c r="G2" i="25"/>
  <c r="J6" i="24"/>
  <c r="H6" i="24"/>
  <c r="G6" i="24"/>
  <c r="J5" i="24"/>
  <c r="H5" i="24"/>
  <c r="G5" i="24"/>
  <c r="J4" i="24"/>
  <c r="H4" i="24"/>
  <c r="G4" i="24"/>
  <c r="J3" i="24"/>
  <c r="H3" i="24"/>
  <c r="G3" i="24"/>
  <c r="J2" i="24"/>
  <c r="H2" i="24"/>
  <c r="G2" i="24"/>
  <c r="G3" i="23"/>
  <c r="G4" i="23"/>
  <c r="G5" i="23"/>
  <c r="G6" i="23"/>
  <c r="G2" i="23"/>
  <c r="H3" i="23"/>
  <c r="H4" i="23"/>
  <c r="H5" i="23"/>
  <c r="H6" i="23"/>
  <c r="H2" i="23"/>
  <c r="I2" i="23"/>
  <c r="J6" i="23"/>
  <c r="J5" i="23"/>
  <c r="J4" i="23"/>
  <c r="J3" i="23"/>
  <c r="J2" i="23"/>
  <c r="K2" i="23"/>
  <c r="J6" i="22"/>
  <c r="H6" i="22"/>
  <c r="G6" i="22"/>
  <c r="I6" i="22" s="1"/>
  <c r="K6" i="22" s="1"/>
  <c r="J5" i="22"/>
  <c r="H5" i="22"/>
  <c r="G5" i="22"/>
  <c r="J4" i="22"/>
  <c r="H4" i="22"/>
  <c r="G4" i="22"/>
  <c r="I4" i="22" s="1"/>
  <c r="K4" i="22" s="1"/>
  <c r="J3" i="22"/>
  <c r="H3" i="22"/>
  <c r="G3" i="22"/>
  <c r="I3" i="22" s="1"/>
  <c r="K3" i="22" s="1"/>
  <c r="J2" i="22"/>
  <c r="H2" i="22"/>
  <c r="G2" i="22"/>
  <c r="J6" i="21"/>
  <c r="H6" i="21"/>
  <c r="G6" i="21"/>
  <c r="I6" i="21" s="1"/>
  <c r="K6" i="21" s="1"/>
  <c r="J5" i="21"/>
  <c r="H5" i="21"/>
  <c r="G5" i="21"/>
  <c r="I5" i="21" s="1"/>
  <c r="K5" i="21" s="1"/>
  <c r="J4" i="21"/>
  <c r="H4" i="21"/>
  <c r="G4" i="21"/>
  <c r="I4" i="21" s="1"/>
  <c r="K4" i="21" s="1"/>
  <c r="J3" i="21"/>
  <c r="H3" i="21"/>
  <c r="G3" i="21"/>
  <c r="J2" i="21"/>
  <c r="H2" i="21"/>
  <c r="G2" i="21"/>
  <c r="I2" i="21" s="1"/>
  <c r="J6" i="20"/>
  <c r="H6" i="20"/>
  <c r="G6" i="20"/>
  <c r="J5" i="20"/>
  <c r="H5" i="20"/>
  <c r="G5" i="20"/>
  <c r="J4" i="20"/>
  <c r="H4" i="20"/>
  <c r="G4" i="20"/>
  <c r="I4" i="20" s="1"/>
  <c r="K4" i="20" s="1"/>
  <c r="J3" i="20"/>
  <c r="H3" i="20"/>
  <c r="G3" i="20"/>
  <c r="I3" i="20" s="1"/>
  <c r="K3" i="20" s="1"/>
  <c r="J2" i="20"/>
  <c r="H2" i="20"/>
  <c r="G2" i="20"/>
  <c r="J6" i="19"/>
  <c r="H6" i="19"/>
  <c r="G6" i="19"/>
  <c r="I6" i="19" s="1"/>
  <c r="K6" i="19" s="1"/>
  <c r="J5" i="19"/>
  <c r="H5" i="19"/>
  <c r="G5" i="19"/>
  <c r="J4" i="19"/>
  <c r="H4" i="19"/>
  <c r="G4" i="19"/>
  <c r="J3" i="19"/>
  <c r="H3" i="19"/>
  <c r="G3" i="19"/>
  <c r="J2" i="19"/>
  <c r="H2" i="19"/>
  <c r="G2" i="19"/>
  <c r="I2" i="19" s="1"/>
  <c r="J6" i="18"/>
  <c r="H6" i="18"/>
  <c r="G6" i="18"/>
  <c r="I6" i="18" s="1"/>
  <c r="K6" i="18" s="1"/>
  <c r="J5" i="18"/>
  <c r="H5" i="18"/>
  <c r="G5" i="18"/>
  <c r="I5" i="18" s="1"/>
  <c r="K5" i="18" s="1"/>
  <c r="J4" i="18"/>
  <c r="H4" i="18"/>
  <c r="G4" i="18"/>
  <c r="J3" i="18"/>
  <c r="H3" i="18"/>
  <c r="G3" i="18"/>
  <c r="J2" i="18"/>
  <c r="H2" i="18"/>
  <c r="G2" i="18"/>
  <c r="I2" i="18" s="1"/>
  <c r="K2" i="18" s="1"/>
  <c r="J6" i="17"/>
  <c r="H6" i="17"/>
  <c r="G6" i="17"/>
  <c r="I6" i="17" s="1"/>
  <c r="K6" i="17" s="1"/>
  <c r="J5" i="17"/>
  <c r="H5" i="17"/>
  <c r="G5" i="17"/>
  <c r="J4" i="17"/>
  <c r="H4" i="17"/>
  <c r="G4" i="17"/>
  <c r="I4" i="17" s="1"/>
  <c r="K4" i="17" s="1"/>
  <c r="J3" i="17"/>
  <c r="H3" i="17"/>
  <c r="G3" i="17"/>
  <c r="J2" i="17"/>
  <c r="H2" i="17"/>
  <c r="G2" i="17"/>
  <c r="I2" i="17" s="1"/>
  <c r="H4" i="16"/>
  <c r="I4" i="16" s="1"/>
  <c r="G4" i="16"/>
  <c r="J7" i="16"/>
  <c r="H7" i="16"/>
  <c r="G7" i="16"/>
  <c r="I7" i="16" s="1"/>
  <c r="K7" i="16" s="1"/>
  <c r="J6" i="16"/>
  <c r="H6" i="16"/>
  <c r="G6" i="16"/>
  <c r="I6" i="16" s="1"/>
  <c r="K6" i="16" s="1"/>
  <c r="J5" i="16"/>
  <c r="H5" i="16"/>
  <c r="G5" i="16"/>
  <c r="J3" i="16"/>
  <c r="H3" i="16"/>
  <c r="G3" i="16"/>
  <c r="J2" i="16"/>
  <c r="H2" i="16"/>
  <c r="G2" i="16"/>
  <c r="J6" i="15"/>
  <c r="H6" i="15"/>
  <c r="G6" i="15"/>
  <c r="J5" i="15"/>
  <c r="H5" i="15"/>
  <c r="G5" i="15"/>
  <c r="I5" i="15" s="1"/>
  <c r="K5" i="15" s="1"/>
  <c r="J4" i="15"/>
  <c r="H4" i="15"/>
  <c r="G4" i="15"/>
  <c r="K3" i="15"/>
  <c r="J3" i="15"/>
  <c r="H3" i="15"/>
  <c r="G3" i="15"/>
  <c r="J2" i="15"/>
  <c r="H2" i="15"/>
  <c r="G2" i="15"/>
  <c r="K6" i="14"/>
  <c r="J6" i="14"/>
  <c r="H6" i="14"/>
  <c r="G6" i="14"/>
  <c r="K3" i="14"/>
  <c r="J7" i="14"/>
  <c r="H7" i="14"/>
  <c r="G7" i="14"/>
  <c r="J5" i="14"/>
  <c r="H5" i="14"/>
  <c r="G5" i="14"/>
  <c r="J4" i="14"/>
  <c r="H4" i="14"/>
  <c r="G4" i="14"/>
  <c r="J3" i="14"/>
  <c r="H3" i="14"/>
  <c r="G3" i="14"/>
  <c r="I3" i="14" s="1"/>
  <c r="J2" i="14"/>
  <c r="H2" i="14"/>
  <c r="G2" i="14"/>
  <c r="J6" i="13"/>
  <c r="H6" i="13"/>
  <c r="G6" i="13"/>
  <c r="J5" i="13"/>
  <c r="H5" i="13"/>
  <c r="G5" i="13"/>
  <c r="J4" i="13"/>
  <c r="H4" i="13"/>
  <c r="G4" i="13"/>
  <c r="I4" i="13" s="1"/>
  <c r="J3" i="13"/>
  <c r="H3" i="13"/>
  <c r="G3" i="13"/>
  <c r="I3" i="13" s="1"/>
  <c r="J2" i="13"/>
  <c r="H2" i="13"/>
  <c r="G2" i="13"/>
  <c r="I2" i="13" s="1"/>
  <c r="H5" i="12"/>
  <c r="G5" i="12"/>
  <c r="J7" i="12"/>
  <c r="H7" i="12"/>
  <c r="G7" i="12"/>
  <c r="J6" i="12"/>
  <c r="H6" i="12"/>
  <c r="G6" i="12"/>
  <c r="J4" i="12"/>
  <c r="H4" i="12"/>
  <c r="G4" i="12"/>
  <c r="J3" i="12"/>
  <c r="H3" i="12"/>
  <c r="G3" i="12"/>
  <c r="J2" i="12"/>
  <c r="H2" i="12"/>
  <c r="G2" i="12"/>
  <c r="J6" i="11"/>
  <c r="H6" i="11"/>
  <c r="G6" i="11"/>
  <c r="J5" i="11"/>
  <c r="H5" i="11"/>
  <c r="G5" i="11"/>
  <c r="J4" i="11"/>
  <c r="H4" i="11"/>
  <c r="G4" i="11"/>
  <c r="J3" i="11"/>
  <c r="H3" i="11"/>
  <c r="G3" i="11"/>
  <c r="J2" i="11"/>
  <c r="H2" i="11"/>
  <c r="G2" i="11"/>
  <c r="H5" i="10"/>
  <c r="H4" i="10"/>
  <c r="G4" i="10"/>
  <c r="J7" i="10"/>
  <c r="H7" i="10"/>
  <c r="G7" i="10"/>
  <c r="J6" i="10"/>
  <c r="H6" i="10"/>
  <c r="G6" i="10"/>
  <c r="J5" i="10"/>
  <c r="G5" i="10"/>
  <c r="J3" i="10"/>
  <c r="H3" i="10"/>
  <c r="G3" i="10"/>
  <c r="J2" i="10"/>
  <c r="H2" i="10"/>
  <c r="G2" i="10"/>
  <c r="J6" i="9"/>
  <c r="H6" i="9"/>
  <c r="G6" i="9"/>
  <c r="J5" i="9"/>
  <c r="H5" i="9"/>
  <c r="G5" i="9"/>
  <c r="I5" i="9" s="1"/>
  <c r="J4" i="9"/>
  <c r="H4" i="9"/>
  <c r="G4" i="9"/>
  <c r="J3" i="9"/>
  <c r="H3" i="9"/>
  <c r="G3" i="9"/>
  <c r="J2" i="9"/>
  <c r="H2" i="9"/>
  <c r="G2" i="9"/>
  <c r="I5" i="8"/>
  <c r="I4" i="8"/>
  <c r="I3" i="8"/>
  <c r="I2" i="8"/>
  <c r="J6" i="8"/>
  <c r="H6" i="8"/>
  <c r="I6" i="8" s="1"/>
  <c r="G6" i="8"/>
  <c r="J5" i="8"/>
  <c r="H5" i="8"/>
  <c r="G5" i="8"/>
  <c r="J4" i="8"/>
  <c r="H4" i="8"/>
  <c r="G4" i="8"/>
  <c r="J3" i="8"/>
  <c r="H3" i="8"/>
  <c r="G3" i="8"/>
  <c r="J2" i="8"/>
  <c r="H2" i="8"/>
  <c r="G2" i="8"/>
  <c r="I6" i="7"/>
  <c r="G6" i="7"/>
  <c r="F6" i="7"/>
  <c r="H6" i="7" s="1"/>
  <c r="I5" i="7"/>
  <c r="G5" i="7"/>
  <c r="F5" i="7"/>
  <c r="I4" i="7"/>
  <c r="G4" i="7"/>
  <c r="F4" i="7"/>
  <c r="I3" i="7"/>
  <c r="G3" i="7"/>
  <c r="F3" i="7"/>
  <c r="I2" i="7"/>
  <c r="G2" i="7"/>
  <c r="F2" i="7"/>
  <c r="I6" i="6"/>
  <c r="G6" i="6"/>
  <c r="F6" i="6"/>
  <c r="H6" i="6" s="1"/>
  <c r="I5" i="6"/>
  <c r="G5" i="6"/>
  <c r="F5" i="6"/>
  <c r="H5" i="6" s="1"/>
  <c r="I4" i="6"/>
  <c r="G4" i="6"/>
  <c r="F4" i="6"/>
  <c r="I3" i="6"/>
  <c r="G3" i="6"/>
  <c r="F3" i="6"/>
  <c r="I2" i="6"/>
  <c r="G2" i="6"/>
  <c r="F2" i="6"/>
  <c r="I6" i="5"/>
  <c r="G6" i="5"/>
  <c r="F6" i="5"/>
  <c r="H6" i="5" s="1"/>
  <c r="I5" i="5"/>
  <c r="G5" i="5"/>
  <c r="F5" i="5"/>
  <c r="H5" i="5" s="1"/>
  <c r="I4" i="5"/>
  <c r="G4" i="5"/>
  <c r="F4" i="5"/>
  <c r="H4" i="5" s="1"/>
  <c r="I3" i="5"/>
  <c r="G3" i="5"/>
  <c r="F3" i="5"/>
  <c r="I2" i="5"/>
  <c r="G2" i="5"/>
  <c r="F2" i="5"/>
  <c r="I4" i="4"/>
  <c r="I5" i="4"/>
  <c r="I6" i="4"/>
  <c r="I2" i="4"/>
  <c r="I3" i="4"/>
  <c r="I6" i="3"/>
  <c r="I5" i="3"/>
  <c r="I4" i="3"/>
  <c r="I3" i="3"/>
  <c r="I2" i="3"/>
  <c r="I6" i="2"/>
  <c r="I5" i="2"/>
  <c r="I4" i="2"/>
  <c r="I3" i="2"/>
  <c r="I2" i="2"/>
  <c r="I4" i="1"/>
  <c r="I5" i="1"/>
  <c r="I6" i="1"/>
  <c r="I7" i="1"/>
  <c r="I2" i="1"/>
  <c r="I3" i="1"/>
  <c r="G6" i="4"/>
  <c r="F6" i="4"/>
  <c r="G5" i="4"/>
  <c r="F5" i="4"/>
  <c r="G4" i="4"/>
  <c r="F4" i="4"/>
  <c r="G3" i="4"/>
  <c r="F3" i="4"/>
  <c r="G2" i="4"/>
  <c r="F2" i="4"/>
  <c r="G6" i="3"/>
  <c r="F6" i="3"/>
  <c r="H6" i="3" s="1"/>
  <c r="G5" i="3"/>
  <c r="F5" i="3"/>
  <c r="G4" i="3"/>
  <c r="F4" i="3"/>
  <c r="G3" i="3"/>
  <c r="F3" i="3"/>
  <c r="G2" i="3"/>
  <c r="F2" i="3"/>
  <c r="G5" i="1"/>
  <c r="F5" i="1"/>
  <c r="H5" i="1" s="1"/>
  <c r="D13" i="1"/>
  <c r="G6" i="2"/>
  <c r="F6" i="2"/>
  <c r="H6" i="2" s="1"/>
  <c r="G5" i="2"/>
  <c r="F5" i="2"/>
  <c r="H5" i="2" s="1"/>
  <c r="G4" i="2"/>
  <c r="F4" i="2"/>
  <c r="H4" i="2" s="1"/>
  <c r="G3" i="2"/>
  <c r="F3" i="2"/>
  <c r="H3" i="2" s="1"/>
  <c r="G2" i="2"/>
  <c r="F2" i="2"/>
  <c r="H2" i="2" s="1"/>
  <c r="H7" i="2" s="1"/>
  <c r="H9" i="2" s="1"/>
  <c r="F6" i="1"/>
  <c r="G3" i="1"/>
  <c r="F3" i="1"/>
  <c r="G2" i="1"/>
  <c r="F2" i="1"/>
  <c r="G6" i="1"/>
  <c r="G7" i="1"/>
  <c r="F7" i="1"/>
  <c r="F4" i="1"/>
  <c r="G4" i="1"/>
  <c r="I3" i="26" l="1"/>
  <c r="K3" i="26" s="1"/>
  <c r="I4" i="26"/>
  <c r="I7" i="26"/>
  <c r="I9" i="26" s="1"/>
  <c r="K2" i="26"/>
  <c r="I5" i="25"/>
  <c r="K5" i="25" s="1"/>
  <c r="I2" i="25"/>
  <c r="I3" i="25"/>
  <c r="K3" i="25" s="1"/>
  <c r="K2" i="25"/>
  <c r="I6" i="24"/>
  <c r="K6" i="24" s="1"/>
  <c r="I5" i="24"/>
  <c r="K5" i="24" s="1"/>
  <c r="I4" i="24"/>
  <c r="K4" i="24" s="1"/>
  <c r="I3" i="24"/>
  <c r="K3" i="24" s="1"/>
  <c r="I2" i="24"/>
  <c r="K2" i="24"/>
  <c r="I6" i="23"/>
  <c r="K6" i="23" s="1"/>
  <c r="I5" i="23"/>
  <c r="K5" i="23" s="1"/>
  <c r="I4" i="23"/>
  <c r="I3" i="23"/>
  <c r="K3" i="23"/>
  <c r="I5" i="22"/>
  <c r="K5" i="22" s="1"/>
  <c r="I2" i="22"/>
  <c r="K2" i="22"/>
  <c r="I7" i="22"/>
  <c r="I9" i="22" s="1"/>
  <c r="I3" i="21"/>
  <c r="K3" i="21" s="1"/>
  <c r="I7" i="21"/>
  <c r="I9" i="21" s="1"/>
  <c r="K2" i="21"/>
  <c r="I6" i="20"/>
  <c r="K6" i="20" s="1"/>
  <c r="I5" i="20"/>
  <c r="K5" i="20" s="1"/>
  <c r="I2" i="20"/>
  <c r="I7" i="20" s="1"/>
  <c r="I9" i="20" s="1"/>
  <c r="K2" i="20"/>
  <c r="I5" i="19"/>
  <c r="K5" i="19" s="1"/>
  <c r="I3" i="19"/>
  <c r="K3" i="19" s="1"/>
  <c r="I4" i="19"/>
  <c r="K4" i="19" s="1"/>
  <c r="I7" i="19"/>
  <c r="I9" i="19" s="1"/>
  <c r="K2" i="19"/>
  <c r="I3" i="18"/>
  <c r="K3" i="18" s="1"/>
  <c r="I4" i="18"/>
  <c r="K4" i="18" s="1"/>
  <c r="I7" i="18"/>
  <c r="I9" i="18" s="1"/>
  <c r="I5" i="17"/>
  <c r="K5" i="17" s="1"/>
  <c r="I3" i="17"/>
  <c r="K3" i="17" s="1"/>
  <c r="K2" i="17"/>
  <c r="I2" i="16"/>
  <c r="I5" i="16"/>
  <c r="K5" i="16" s="1"/>
  <c r="I3" i="16"/>
  <c r="K3" i="16" s="1"/>
  <c r="K2" i="16"/>
  <c r="I6" i="15"/>
  <c r="K6" i="15" s="1"/>
  <c r="I2" i="15"/>
  <c r="I3" i="15"/>
  <c r="I4" i="15"/>
  <c r="K4" i="15" s="1"/>
  <c r="K2" i="15"/>
  <c r="I7" i="14"/>
  <c r="K7" i="14" s="1"/>
  <c r="I6" i="14"/>
  <c r="I5" i="14"/>
  <c r="K5" i="14" s="1"/>
  <c r="I4" i="14"/>
  <c r="K4" i="14" s="1"/>
  <c r="I2" i="14"/>
  <c r="K2" i="14" s="1"/>
  <c r="I6" i="13"/>
  <c r="I8" i="14"/>
  <c r="I10" i="14" s="1"/>
  <c r="I5" i="13"/>
  <c r="I7" i="13"/>
  <c r="I9" i="13" s="1"/>
  <c r="I7" i="12"/>
  <c r="I5" i="12"/>
  <c r="I4" i="12" s="1"/>
  <c r="I6" i="12"/>
  <c r="I3" i="12"/>
  <c r="I2" i="12"/>
  <c r="I6" i="11"/>
  <c r="I5" i="11"/>
  <c r="I4" i="11"/>
  <c r="I2" i="11"/>
  <c r="I3" i="11"/>
  <c r="I7" i="10"/>
  <c r="I6" i="10"/>
  <c r="I4" i="10"/>
  <c r="I5" i="10"/>
  <c r="I3" i="10"/>
  <c r="I2" i="10"/>
  <c r="I4" i="9"/>
  <c r="I2" i="9"/>
  <c r="I3" i="9"/>
  <c r="I6" i="9"/>
  <c r="H5" i="7"/>
  <c r="H4" i="7"/>
  <c r="H3" i="7"/>
  <c r="H7" i="7" s="1"/>
  <c r="H9" i="7" s="1"/>
  <c r="H4" i="6"/>
  <c r="H3" i="6"/>
  <c r="H2" i="7"/>
  <c r="H2" i="6"/>
  <c r="H7" i="6"/>
  <c r="H9" i="6" s="1"/>
  <c r="H3" i="5"/>
  <c r="H7" i="5" s="1"/>
  <c r="H9" i="5" s="1"/>
  <c r="H2" i="5"/>
  <c r="H6" i="4"/>
  <c r="H5" i="4"/>
  <c r="H4" i="4"/>
  <c r="H3" i="4"/>
  <c r="H2" i="4"/>
  <c r="H4" i="3"/>
  <c r="H3" i="3"/>
  <c r="H2" i="3"/>
  <c r="H5" i="3"/>
  <c r="H7" i="3" s="1"/>
  <c r="H9" i="3" s="1"/>
  <c r="H7" i="1"/>
  <c r="H6" i="1"/>
  <c r="H3" i="1"/>
  <c r="H2" i="1"/>
  <c r="H4" i="1"/>
  <c r="I7" i="25" l="1"/>
  <c r="I9" i="25" s="1"/>
  <c r="I7" i="24"/>
  <c r="I9" i="24" s="1"/>
  <c r="I7" i="23"/>
  <c r="I9" i="23" s="1"/>
  <c r="K4" i="23"/>
  <c r="I7" i="17"/>
  <c r="I9" i="17" s="1"/>
  <c r="I8" i="16"/>
  <c r="I10" i="16" s="1"/>
  <c r="I7" i="15"/>
  <c r="I9" i="15" s="1"/>
  <c r="I8" i="12"/>
  <c r="I10" i="12" s="1"/>
  <c r="I7" i="11"/>
  <c r="I9" i="11" s="1"/>
  <c r="I8" i="10"/>
  <c r="I10" i="10" s="1"/>
  <c r="I7" i="9"/>
  <c r="I9" i="9" s="1"/>
  <c r="I7" i="8"/>
  <c r="I9" i="8" s="1"/>
  <c r="H7" i="4"/>
  <c r="H9" i="4" s="1"/>
  <c r="H8" i="1"/>
  <c r="H10" i="1" s="1"/>
</calcChain>
</file>

<file path=xl/sharedStrings.xml><?xml version="1.0" encoding="utf-8"?>
<sst xmlns="http://schemas.openxmlformats.org/spreadsheetml/2006/main" count="422" uniqueCount="18">
  <si>
    <t>In</t>
  </si>
  <si>
    <t>Out</t>
  </si>
  <si>
    <t>Morning Hours</t>
  </si>
  <si>
    <t>Afternoon Hours</t>
  </si>
  <si>
    <t>Total Hours</t>
  </si>
  <si>
    <t>Monday</t>
  </si>
  <si>
    <t>Tuesday</t>
  </si>
  <si>
    <t>Wednesday</t>
  </si>
  <si>
    <t>Thursday</t>
  </si>
  <si>
    <t>Friday</t>
  </si>
  <si>
    <t>Weekly Hour</t>
  </si>
  <si>
    <t>Hours to 40</t>
  </si>
  <si>
    <t>Lunch
(Mins)</t>
  </si>
  <si>
    <t>(Lunch)
Out</t>
  </si>
  <si>
    <t>(Lunch)
In</t>
  </si>
  <si>
    <t>Applicable
PTO</t>
  </si>
  <si>
    <t>Applicable
PTO / Holiday</t>
  </si>
  <si>
    <t>Over / Under
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</si>
</sst>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rgb="FF2D2D2D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8" fontId="2" fillId="0" borderId="1" xfId="0" applyNumberFormat="1" applyFont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43" fontId="5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3" fontId="2" fillId="0" borderId="4" xfId="0" applyNumberFormat="1" applyFont="1" applyBorder="1" applyAlignment="1">
      <alignment horizontal="center"/>
    </xf>
    <xf numFmtId="18" fontId="2" fillId="0" borderId="0" xfId="0" applyNumberFormat="1" applyFont="1" applyAlignment="1">
      <alignment horizontal="center"/>
    </xf>
    <xf numFmtId="40" fontId="0" fillId="0" borderId="0" xfId="0" applyNumberFormat="1"/>
    <xf numFmtId="18" fontId="2" fillId="0" borderId="6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4" fillId="2" borderId="5" xfId="1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3" fillId="2" borderId="6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2" borderId="7" xfId="0" applyFont="1" applyFill="1" applyBorder="1"/>
    <xf numFmtId="18" fontId="2" fillId="0" borderId="7" xfId="0" applyNumberFormat="1" applyFont="1" applyBorder="1" applyAlignment="1">
      <alignment horizontal="center"/>
    </xf>
    <xf numFmtId="18" fontId="2" fillId="0" borderId="8" xfId="0" applyNumberFormat="1" applyFont="1" applyBorder="1" applyAlignment="1">
      <alignment horizontal="center"/>
    </xf>
    <xf numFmtId="43" fontId="4" fillId="2" borderId="9" xfId="1" applyFont="1" applyFill="1" applyBorder="1" applyAlignment="1">
      <alignment horizontal="center"/>
    </xf>
    <xf numFmtId="43" fontId="4" fillId="2" borderId="7" xfId="1" applyFont="1" applyFill="1" applyBorder="1" applyAlignment="1">
      <alignment horizontal="center"/>
    </xf>
    <xf numFmtId="43" fontId="2" fillId="0" borderId="7" xfId="0" applyNumberFormat="1" applyFont="1" applyBorder="1" applyAlignment="1">
      <alignment horizontal="center"/>
    </xf>
    <xf numFmtId="0" fontId="3" fillId="2" borderId="10" xfId="0" applyFont="1" applyFill="1" applyBorder="1"/>
    <xf numFmtId="18" fontId="2" fillId="0" borderId="10" xfId="0" applyNumberFormat="1" applyFont="1" applyBorder="1" applyAlignment="1">
      <alignment horizontal="center"/>
    </xf>
    <xf numFmtId="18" fontId="2" fillId="0" borderId="11" xfId="0" applyNumberFormat="1" applyFont="1" applyBorder="1" applyAlignment="1">
      <alignment horizontal="center"/>
    </xf>
    <xf numFmtId="43" fontId="4" fillId="2" borderId="12" xfId="1" applyFont="1" applyFill="1" applyBorder="1" applyAlignment="1">
      <alignment horizontal="center"/>
    </xf>
    <xf numFmtId="43" fontId="4" fillId="2" borderId="10" xfId="1" applyFont="1" applyFill="1" applyBorder="1" applyAlignment="1">
      <alignment horizontal="center"/>
    </xf>
    <xf numFmtId="43" fontId="2" fillId="0" borderId="10" xfId="0" applyNumberFormat="1" applyFont="1" applyBorder="1" applyAlignment="1">
      <alignment horizontal="center"/>
    </xf>
    <xf numFmtId="0" fontId="3" fillId="2" borderId="13" xfId="0" applyFont="1" applyFill="1" applyBorder="1"/>
    <xf numFmtId="18" fontId="2" fillId="0" borderId="14" xfId="0" applyNumberFormat="1" applyFont="1" applyBorder="1" applyAlignment="1">
      <alignment horizontal="center"/>
    </xf>
    <xf numFmtId="18" fontId="2" fillId="0" borderId="15" xfId="0" applyNumberFormat="1" applyFont="1" applyBorder="1" applyAlignment="1">
      <alignment horizontal="center"/>
    </xf>
    <xf numFmtId="43" fontId="4" fillId="2" borderId="16" xfId="1" applyFont="1" applyFill="1" applyBorder="1" applyAlignment="1">
      <alignment horizontal="center"/>
    </xf>
    <xf numFmtId="43" fontId="4" fillId="2" borderId="14" xfId="1" applyFont="1" applyFill="1" applyBorder="1" applyAlignment="1">
      <alignment horizontal="center"/>
    </xf>
    <xf numFmtId="43" fontId="2" fillId="0" borderId="17" xfId="0" applyNumberFormat="1" applyFont="1" applyBorder="1" applyAlignment="1">
      <alignment horizontal="center"/>
    </xf>
    <xf numFmtId="0" fontId="3" fillId="2" borderId="18" xfId="0" applyFont="1" applyFill="1" applyBorder="1"/>
    <xf numFmtId="18" fontId="2" fillId="0" borderId="19" xfId="0" applyNumberFormat="1" applyFont="1" applyBorder="1" applyAlignment="1">
      <alignment horizontal="center"/>
    </xf>
    <xf numFmtId="18" fontId="2" fillId="0" borderId="20" xfId="0" applyNumberFormat="1" applyFont="1" applyBorder="1" applyAlignment="1">
      <alignment horizontal="center"/>
    </xf>
    <xf numFmtId="43" fontId="4" fillId="2" borderId="21" xfId="1" applyFont="1" applyFill="1" applyBorder="1" applyAlignment="1">
      <alignment horizontal="center"/>
    </xf>
    <xf numFmtId="43" fontId="4" fillId="2" borderId="19" xfId="1" applyFont="1" applyFill="1" applyBorder="1" applyAlignment="1">
      <alignment horizontal="center"/>
    </xf>
    <xf numFmtId="43" fontId="2" fillId="0" borderId="22" xfId="0" applyNumberFormat="1" applyFont="1" applyBorder="1" applyAlignment="1">
      <alignment horizontal="center"/>
    </xf>
    <xf numFmtId="43" fontId="2" fillId="0" borderId="23" xfId="0" applyNumberFormat="1" applyFont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8" fontId="7" fillId="4" borderId="1" xfId="0" applyNumberFormat="1" applyFont="1" applyFill="1" applyBorder="1" applyAlignment="1">
      <alignment horizontal="center"/>
    </xf>
    <xf numFmtId="18" fontId="7" fillId="4" borderId="6" xfId="0" applyNumberFormat="1" applyFont="1" applyFill="1" applyBorder="1" applyAlignment="1">
      <alignment horizontal="center"/>
    </xf>
    <xf numFmtId="18" fontId="2" fillId="2" borderId="10" xfId="0" applyNumberFormat="1" applyFont="1" applyFill="1" applyBorder="1" applyAlignment="1">
      <alignment horizontal="center"/>
    </xf>
    <xf numFmtId="18" fontId="2" fillId="2" borderId="11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43" fontId="4" fillId="0" borderId="1" xfId="1" applyFont="1" applyFill="1" applyBorder="1" applyAlignment="1">
      <alignment horizontal="center"/>
    </xf>
    <xf numFmtId="43" fontId="4" fillId="0" borderId="24" xfId="1" applyFont="1" applyFill="1" applyBorder="1" applyAlignment="1">
      <alignment horizontal="center"/>
    </xf>
    <xf numFmtId="43" fontId="4" fillId="0" borderId="10" xfId="1" applyFont="1" applyFill="1" applyBorder="1" applyAlignment="1">
      <alignment horizontal="center"/>
    </xf>
    <xf numFmtId="18" fontId="2" fillId="5" borderId="10" xfId="0" applyNumberFormat="1" applyFont="1" applyFill="1" applyBorder="1" applyAlignment="1">
      <alignment horizontal="center"/>
    </xf>
    <xf numFmtId="18" fontId="2" fillId="5" borderId="11" xfId="0" applyNumberFormat="1" applyFont="1" applyFill="1" applyBorder="1" applyAlignment="1">
      <alignment horizontal="center"/>
    </xf>
    <xf numFmtId="18" fontId="2" fillId="6" borderId="10" xfId="0" applyNumberFormat="1" applyFont="1" applyFill="1" applyBorder="1" applyAlignment="1">
      <alignment horizontal="center"/>
    </xf>
    <xf numFmtId="18" fontId="2" fillId="6" borderId="1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0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323850</xdr:colOff>
          <xdr:row>0</xdr:row>
          <xdr:rowOff>238125</xdr:rowOff>
        </xdr:from>
        <xdr:to>
          <xdr:col>12</xdr:col>
          <xdr:colOff>409575</xdr:colOff>
          <xdr:row>0</xdr:row>
          <xdr:rowOff>533400</xdr:rowOff>
        </xdr:to>
        <xdr:sp macro="" textlink="">
          <xdr:nvSpPr>
            <xdr:cNvPr id="46081" name="Button 1" hidden="1">
              <a:extLst>
                <a:ext uri="{63B3BB69-23CF-44E3-9099-C40C66FF867C}">
                  <a14:compatExt spid="_x0000_s46081"/>
                </a:ext>
                <a:ext uri="{FF2B5EF4-FFF2-40B4-BE49-F238E27FC236}">
                  <a16:creationId xmlns:a16="http://schemas.microsoft.com/office/drawing/2014/main" id="{00000000-0008-0000-1200-000001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Re-Calculate Hours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323850</xdr:colOff>
          <xdr:row>0</xdr:row>
          <xdr:rowOff>238125</xdr:rowOff>
        </xdr:from>
        <xdr:to>
          <xdr:col>12</xdr:col>
          <xdr:colOff>409575</xdr:colOff>
          <xdr:row>0</xdr:row>
          <xdr:rowOff>533400</xdr:rowOff>
        </xdr:to>
        <xdr:sp macro="" textlink="">
          <xdr:nvSpPr>
            <xdr:cNvPr id="36865" name="Button 1" hidden="1">
              <a:extLst>
                <a:ext uri="{63B3BB69-23CF-44E3-9099-C40C66FF867C}">
                  <a14:compatExt spid="_x0000_s36865"/>
                </a:ext>
                <a:ext uri="{FF2B5EF4-FFF2-40B4-BE49-F238E27FC236}">
                  <a16:creationId xmlns:a16="http://schemas.microsoft.com/office/drawing/2014/main" id="{00000000-0008-0000-1300-00000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Re-Calculate Hours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323850</xdr:colOff>
          <xdr:row>0</xdr:row>
          <xdr:rowOff>238125</xdr:rowOff>
        </xdr:from>
        <xdr:to>
          <xdr:col>12</xdr:col>
          <xdr:colOff>409575</xdr:colOff>
          <xdr:row>0</xdr:row>
          <xdr:rowOff>533400</xdr:rowOff>
        </xdr:to>
        <xdr:sp macro="" textlink="">
          <xdr:nvSpPr>
            <xdr:cNvPr id="28673" name="Button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14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Re-Calculate Hours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323850</xdr:colOff>
          <xdr:row>0</xdr:row>
          <xdr:rowOff>238125</xdr:rowOff>
        </xdr:from>
        <xdr:to>
          <xdr:col>11</xdr:col>
          <xdr:colOff>409575</xdr:colOff>
          <xdr:row>0</xdr:row>
          <xdr:rowOff>533400</xdr:rowOff>
        </xdr:to>
        <xdr:sp macro="" textlink="">
          <xdr:nvSpPr>
            <xdr:cNvPr id="21505" name="Butto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5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Re-Calculate Hours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323850</xdr:colOff>
          <xdr:row>0</xdr:row>
          <xdr:rowOff>238125</xdr:rowOff>
        </xdr:from>
        <xdr:to>
          <xdr:col>11</xdr:col>
          <xdr:colOff>409575</xdr:colOff>
          <xdr:row>0</xdr:row>
          <xdr:rowOff>533400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16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Re-Calculate Hours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323850</xdr:colOff>
          <xdr:row>0</xdr:row>
          <xdr:rowOff>238125</xdr:rowOff>
        </xdr:from>
        <xdr:to>
          <xdr:col>11</xdr:col>
          <xdr:colOff>409575</xdr:colOff>
          <xdr:row>0</xdr:row>
          <xdr:rowOff>533400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17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Re-Calculate Hours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323850</xdr:colOff>
          <xdr:row>0</xdr:row>
          <xdr:rowOff>238125</xdr:rowOff>
        </xdr:from>
        <xdr:to>
          <xdr:col>11</xdr:col>
          <xdr:colOff>409575</xdr:colOff>
          <xdr:row>0</xdr:row>
          <xdr:rowOff>533400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18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Re-Calculate Hours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552450</xdr:colOff>
          <xdr:row>0</xdr:row>
          <xdr:rowOff>238125</xdr:rowOff>
        </xdr:from>
        <xdr:to>
          <xdr:col>12</xdr:col>
          <xdr:colOff>28575</xdr:colOff>
          <xdr:row>0</xdr:row>
          <xdr:rowOff>504825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19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Re-Calculate Hours</a:t>
              </a:r>
            </a:p>
          </xdr:txBody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314325</xdr:colOff>
          <xdr:row>0</xdr:row>
          <xdr:rowOff>447675</xdr:rowOff>
        </xdr:from>
        <xdr:to>
          <xdr:col>11</xdr:col>
          <xdr:colOff>361950</xdr:colOff>
          <xdr:row>0</xdr:row>
          <xdr:rowOff>723900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1A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Re-Calculate Hours</a:t>
              </a:r>
            </a:p>
          </xdr:txBody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409575</xdr:colOff>
          <xdr:row>0</xdr:row>
          <xdr:rowOff>314325</xdr:rowOff>
        </xdr:from>
        <xdr:to>
          <xdr:col>11</xdr:col>
          <xdr:colOff>571500</xdr:colOff>
          <xdr:row>0</xdr:row>
          <xdr:rowOff>609600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1B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Re-Calculate Hours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Relationship Id="rId4" Type="http://schemas.openxmlformats.org/officeDocument/2006/relationships/ctrlProp" Target="../ctrlProps/ctrlProp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8.bin"/><Relationship Id="rId4" Type="http://schemas.openxmlformats.org/officeDocument/2006/relationships/ctrlProp" Target="../ctrlProps/ctrlProp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9.bin"/><Relationship Id="rId4" Type="http://schemas.openxmlformats.org/officeDocument/2006/relationships/ctrlProp" Target="../ctrlProps/ctrlProp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Relationship Id="rId4" Type="http://schemas.openxmlformats.org/officeDocument/2006/relationships/ctrlProp" Target="../ctrlProps/ctrlProp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Relationship Id="rId4" Type="http://schemas.openxmlformats.org/officeDocument/2006/relationships/ctrlProp" Target="../ctrlProps/ctrlProp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2.bin"/><Relationship Id="rId4" Type="http://schemas.openxmlformats.org/officeDocument/2006/relationships/ctrlProp" Target="../ctrlProps/ctrlProp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3.bin"/><Relationship Id="rId4" Type="http://schemas.openxmlformats.org/officeDocument/2006/relationships/ctrlProp" Target="../ctrlProps/ctrlProp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4.bin"/><Relationship Id="rId4" Type="http://schemas.openxmlformats.org/officeDocument/2006/relationships/ctrlProp" Target="../ctrlProps/ctrlProp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5.bin"/><Relationship Id="rId4" Type="http://schemas.openxmlformats.org/officeDocument/2006/relationships/ctrlProp" Target="../ctrlProps/ctrlProp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6.bin"/><Relationship Id="rId4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B036-618B-4AFD-95E5-11C633C71FD1}">
  <dimension ref="A1:K9"/>
  <sheetViews>
    <sheetView tabSelected="1"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  <c r="K1" s="51" t="s">
        <v>17</v>
      </c>
    </row>
    <row r="2" spans="1:11" x14ac:dyDescent="0.35">
      <c r="A2" s="26" t="s">
        <v>5</v>
      </c>
      <c r="B2" s="57"/>
      <c r="C2" s="57"/>
      <c r="D2" s="57"/>
      <c r="E2" s="58"/>
      <c r="F2" s="14">
        <v>8</v>
      </c>
      <c r="G2" s="14">
        <f>SUM(C2 - B2) * 24</f>
        <v>0</v>
      </c>
      <c r="H2" s="15">
        <f>SUM(E2 - D2) * 24</f>
        <v>0</v>
      </c>
      <c r="I2" s="5">
        <f>G2 + H2 + F2</f>
        <v>8</v>
      </c>
      <c r="J2" s="52" t="str">
        <f>IF(AND(C2 &lt;&gt; "", D2 &lt;&gt; ""), (SUM(D2-C2)*1440), " - ")</f>
        <v xml:space="preserve"> - </v>
      </c>
      <c r="K2" s="53" t="str">
        <f>IF(AND((B2 &lt;&gt; ""), (C2 &lt;&gt; ""), (D2 &lt;&gt; ""), (E2 &lt;&gt; "")), IF((((8 - I2) * 60) + 1) &gt; 0, (((8 - I2) * 60) + 1), (((8 - I2) * 60) - 1)), "-")</f>
        <v>-</v>
      </c>
    </row>
    <row r="3" spans="1:11" x14ac:dyDescent="0.35">
      <c r="A3" s="26" t="s">
        <v>6</v>
      </c>
      <c r="B3" s="57"/>
      <c r="C3" s="57"/>
      <c r="D3" s="57"/>
      <c r="E3" s="58"/>
      <c r="F3" s="15">
        <v>8</v>
      </c>
      <c r="G3" s="14">
        <f t="shared" ref="G3:G6" si="0">SUM(C3 - B3) * 24</f>
        <v>0</v>
      </c>
      <c r="H3" s="15">
        <f t="shared" ref="H3:H6" si="1">SUM(E3 - D3) * 24</f>
        <v>0</v>
      </c>
      <c r="I3" s="5">
        <f t="shared" ref="I3:I6" si="2">G3 + H3 + F3</f>
        <v>8</v>
      </c>
      <c r="J3" s="54" t="str">
        <f>IF(AND(C3 &lt;&gt; "", D3 &lt;&gt; ""), (SUM(D3-C3)*1440), " - ")</f>
        <v xml:space="preserve"> - </v>
      </c>
      <c r="K3" s="53" t="str">
        <f t="shared" ref="K3:K6" si="3">IF(AND((B3&lt;&gt;""), (C3&lt;&gt;""), (D3&lt;&gt;""), (E3&lt;&gt;"")), IF((((8-I3)*60)+1) &gt; 0, (((8-I3)*60)+1), (((8-I3)*60)-1)), "-")</f>
        <v>-</v>
      </c>
    </row>
    <row r="4" spans="1:11" x14ac:dyDescent="0.35">
      <c r="A4" s="26" t="s">
        <v>7</v>
      </c>
      <c r="B4" s="57"/>
      <c r="C4" s="57"/>
      <c r="D4" s="57"/>
      <c r="E4" s="58"/>
      <c r="F4" s="30">
        <v>8</v>
      </c>
      <c r="G4" s="14">
        <f t="shared" si="0"/>
        <v>0</v>
      </c>
      <c r="H4" s="15">
        <f t="shared" si="1"/>
        <v>0</v>
      </c>
      <c r="I4" s="5">
        <f t="shared" si="2"/>
        <v>8</v>
      </c>
      <c r="J4" s="54" t="str">
        <f>IF(AND(C4 &lt;&gt; "", D4 &lt;&gt; ""), (SUM(D4-C4)*1440), " - ")</f>
        <v xml:space="preserve"> - </v>
      </c>
      <c r="K4" s="53" t="str">
        <f t="shared" si="3"/>
        <v>-</v>
      </c>
    </row>
    <row r="5" spans="1:11" x14ac:dyDescent="0.35">
      <c r="A5" s="26" t="s">
        <v>8</v>
      </c>
      <c r="B5" s="57"/>
      <c r="C5" s="57"/>
      <c r="D5" s="57"/>
      <c r="E5" s="58"/>
      <c r="F5" s="30">
        <v>8</v>
      </c>
      <c r="G5" s="14">
        <f t="shared" si="0"/>
        <v>0</v>
      </c>
      <c r="H5" s="15">
        <f t="shared" si="1"/>
        <v>0</v>
      </c>
      <c r="I5" s="5">
        <f t="shared" si="2"/>
        <v>8</v>
      </c>
      <c r="J5" s="54" t="str">
        <f t="shared" ref="J5:J6" si="4">IF(AND(C5 &lt;&gt; "", D5 &lt;&gt; ""), (SUM(D5-C5)*1440), " - ")</f>
        <v xml:space="preserve"> - </v>
      </c>
      <c r="K5" s="53" t="str">
        <f t="shared" si="3"/>
        <v>-</v>
      </c>
    </row>
    <row r="6" spans="1:11" ht="24" thickBot="1" x14ac:dyDescent="0.4">
      <c r="A6" s="17" t="s">
        <v>9</v>
      </c>
      <c r="B6" s="57"/>
      <c r="C6" s="57"/>
      <c r="D6" s="57"/>
      <c r="E6" s="58"/>
      <c r="F6" s="15">
        <v>8</v>
      </c>
      <c r="G6" s="14">
        <f t="shared" si="0"/>
        <v>0</v>
      </c>
      <c r="H6" s="15">
        <f t="shared" si="1"/>
        <v>0</v>
      </c>
      <c r="I6" s="5">
        <f t="shared" si="2"/>
        <v>8</v>
      </c>
      <c r="J6" s="54" t="str">
        <f t="shared" si="4"/>
        <v xml:space="preserve"> - </v>
      </c>
      <c r="K6" s="53" t="str">
        <f t="shared" si="3"/>
        <v>-</v>
      </c>
    </row>
    <row r="7" spans="1:11" ht="36.75" thickBot="1" x14ac:dyDescent="0.6">
      <c r="B7" s="9"/>
      <c r="H7" s="2" t="s">
        <v>10</v>
      </c>
      <c r="I7" s="6">
        <f>SUM(I2:I6)</f>
        <v>40</v>
      </c>
    </row>
    <row r="8" spans="1:11" ht="24" thickBot="1" x14ac:dyDescent="0.4"/>
    <row r="9" spans="1:11" ht="24" thickBot="1" x14ac:dyDescent="0.4">
      <c r="H9" s="7" t="s">
        <v>11</v>
      </c>
      <c r="I9" s="8">
        <f>40-I7</f>
        <v>0</v>
      </c>
      <c r="J9" s="10"/>
    </row>
  </sheetData>
  <conditionalFormatting sqref="I2:I6">
    <cfRule type="cellIs" dxfId="103" priority="1" operator="greaterThan">
      <formula>7.99999999</formula>
    </cfRule>
    <cfRule type="cellIs" dxfId="102" priority="2" operator="lessThan">
      <formula>8</formula>
    </cfRule>
  </conditionalFormatting>
  <conditionalFormatting sqref="I7">
    <cfRule type="cellIs" dxfId="101" priority="3" operator="lessThan">
      <formula>40</formula>
    </cfRule>
    <cfRule type="cellIs" dxfId="100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8471-DE0C-47D3-A466-C206C9B7EE51}"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  <c r="K1" s="51" t="s">
        <v>17</v>
      </c>
    </row>
    <row r="2" spans="1:11" x14ac:dyDescent="0.35">
      <c r="A2" s="26" t="s">
        <v>5</v>
      </c>
      <c r="B2" s="27">
        <v>0.28819444444444442</v>
      </c>
      <c r="C2" s="27">
        <v>0.50763888888888886</v>
      </c>
      <c r="D2" s="27">
        <v>0.53749999999999998</v>
      </c>
      <c r="E2" s="28">
        <v>0.66666666666666663</v>
      </c>
      <c r="F2" s="14">
        <v>0</v>
      </c>
      <c r="G2" s="14">
        <f>SUM(C2 - B2) * 24</f>
        <v>5.2666666666666666</v>
      </c>
      <c r="H2" s="15">
        <f>SUM(E2 - D2) * 24</f>
        <v>3.0999999999999996</v>
      </c>
      <c r="I2" s="5">
        <f>G2 + H2 + F2</f>
        <v>8.3666666666666671</v>
      </c>
      <c r="J2" s="52">
        <f>IF(AND(C2 &lt;&gt; "", D2 &lt;&gt; ""), (SUM(D2-C2)*1440), " - ")</f>
        <v>43.000000000000007</v>
      </c>
      <c r="K2" s="53">
        <f>IF(AND((B2 &lt;&gt; ""), (C2 &lt;&gt; ""), (D2 &lt;&gt; ""), (E2 &lt;&gt; "")), IF((((8 - I2) * 60) + 1) &gt; 0, (((8 - I2) * 60) + 1), (((8 - I2) * 60) - 1)), "-")</f>
        <v>-23.000000000000028</v>
      </c>
    </row>
    <row r="3" spans="1:11" x14ac:dyDescent="0.35">
      <c r="A3" s="26" t="s">
        <v>6</v>
      </c>
      <c r="B3" s="27">
        <v>0.25</v>
      </c>
      <c r="C3" s="27">
        <v>0.48402777777777778</v>
      </c>
      <c r="D3" s="27">
        <v>0.52152777777777781</v>
      </c>
      <c r="E3" s="28">
        <v>0.625</v>
      </c>
      <c r="F3" s="15">
        <v>0</v>
      </c>
      <c r="G3" s="14">
        <f t="shared" ref="G3:G6" si="0">SUM(C3 - B3) * 24</f>
        <v>5.6166666666666671</v>
      </c>
      <c r="H3" s="15">
        <f t="shared" ref="H3:H6" si="1">SUM(E3 - D3) * 24</f>
        <v>2.4833333333333325</v>
      </c>
      <c r="I3" s="5">
        <f t="shared" ref="I3:I6" si="2">G3 + H3 + F3</f>
        <v>8.1</v>
      </c>
      <c r="J3" s="54">
        <f>IF(AND(C3 &lt;&gt; "", D3 &lt;&gt; ""), (SUM(D3-C3)*1440), " - ")</f>
        <v>54.00000000000005</v>
      </c>
      <c r="K3" s="53">
        <f t="shared" ref="K3:K6" si="3">IF(AND((B3&lt;&gt;""), (C3&lt;&gt;""), (D3&lt;&gt;""), (E3&lt;&gt;"")), IF((((8-I3)*60)+1) &gt; 0, (((8-I3)*60)+1), (((8-I3)*60)-1)), "-")</f>
        <v>-6.9999999999999787</v>
      </c>
    </row>
    <row r="4" spans="1:11" x14ac:dyDescent="0.35">
      <c r="A4" s="26" t="s">
        <v>7</v>
      </c>
      <c r="B4" s="57"/>
      <c r="C4" s="57"/>
      <c r="D4" s="57"/>
      <c r="E4" s="58"/>
      <c r="F4" s="30">
        <v>8</v>
      </c>
      <c r="G4" s="14">
        <f t="shared" si="0"/>
        <v>0</v>
      </c>
      <c r="H4" s="15">
        <f t="shared" si="1"/>
        <v>0</v>
      </c>
      <c r="I4" s="5">
        <f t="shared" si="2"/>
        <v>8</v>
      </c>
      <c r="J4" s="54" t="str">
        <f>IF(AND(C4 &lt;&gt; "", D4 &lt;&gt; ""), (SUM(D4-C4)*1440), " - ")</f>
        <v xml:space="preserve"> - </v>
      </c>
      <c r="K4" s="53" t="str">
        <f t="shared" si="3"/>
        <v>-</v>
      </c>
    </row>
    <row r="5" spans="1:11" x14ac:dyDescent="0.35">
      <c r="A5" s="26" t="s">
        <v>8</v>
      </c>
      <c r="B5" s="27">
        <v>0.28819444444444442</v>
      </c>
      <c r="C5" s="27">
        <v>0.50555555555555554</v>
      </c>
      <c r="D5" s="27">
        <v>0.53611111111111109</v>
      </c>
      <c r="E5" s="28">
        <v>0.66666666666666663</v>
      </c>
      <c r="F5" s="30">
        <v>0</v>
      </c>
      <c r="G5" s="14">
        <f t="shared" si="0"/>
        <v>5.2166666666666668</v>
      </c>
      <c r="H5" s="15">
        <f t="shared" si="1"/>
        <v>3.1333333333333329</v>
      </c>
      <c r="I5" s="5">
        <f t="shared" si="2"/>
        <v>8.35</v>
      </c>
      <c r="J5" s="54">
        <f t="shared" ref="J5:J6" si="4">IF(AND(C5 &lt;&gt; "", D5 &lt;&gt; ""), (SUM(D5-C5)*1440), " - ")</f>
        <v>44</v>
      </c>
      <c r="K5" s="53">
        <f t="shared" si="3"/>
        <v>-21.999999999999979</v>
      </c>
    </row>
    <row r="6" spans="1:11" ht="24" thickBot="1" x14ac:dyDescent="0.4">
      <c r="A6" s="17" t="s">
        <v>9</v>
      </c>
      <c r="B6" s="57"/>
      <c r="C6" s="57"/>
      <c r="D6" s="57"/>
      <c r="E6" s="58"/>
      <c r="F6" s="15">
        <v>8</v>
      </c>
      <c r="G6" s="14">
        <f t="shared" si="0"/>
        <v>0</v>
      </c>
      <c r="H6" s="15">
        <f t="shared" si="1"/>
        <v>0</v>
      </c>
      <c r="I6" s="5">
        <f t="shared" si="2"/>
        <v>8</v>
      </c>
      <c r="J6" s="54" t="str">
        <f t="shared" si="4"/>
        <v xml:space="preserve"> - </v>
      </c>
      <c r="K6" s="53" t="str">
        <f t="shared" si="3"/>
        <v>-</v>
      </c>
    </row>
    <row r="7" spans="1:11" ht="36.75" thickBot="1" x14ac:dyDescent="0.6">
      <c r="B7" s="9"/>
      <c r="H7" s="2" t="s">
        <v>10</v>
      </c>
      <c r="I7" s="6">
        <f>SUM(I2:I6)</f>
        <v>40.81666666666667</v>
      </c>
    </row>
    <row r="8" spans="1:11" ht="24" thickBot="1" x14ac:dyDescent="0.4"/>
    <row r="9" spans="1:11" ht="24" thickBot="1" x14ac:dyDescent="0.4">
      <c r="H9" s="7" t="s">
        <v>11</v>
      </c>
      <c r="I9" s="8">
        <f>40-I7</f>
        <v>-0.81666666666666998</v>
      </c>
      <c r="J9" s="10"/>
    </row>
  </sheetData>
  <conditionalFormatting sqref="I2:I6">
    <cfRule type="cellIs" dxfId="99" priority="1" operator="greaterThan">
      <formula>7.99999999</formula>
    </cfRule>
    <cfRule type="cellIs" dxfId="98" priority="2" operator="lessThan">
      <formula>8</formula>
    </cfRule>
  </conditionalFormatting>
  <conditionalFormatting sqref="I7">
    <cfRule type="cellIs" dxfId="97" priority="3" operator="lessThan">
      <formula>40</formula>
    </cfRule>
    <cfRule type="cellIs" dxfId="96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EAF-B04D-4683-9138-08C85CF69968}"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  <c r="K1" s="51" t="s">
        <v>17</v>
      </c>
    </row>
    <row r="2" spans="1:11" x14ac:dyDescent="0.35">
      <c r="A2" s="26" t="s">
        <v>5</v>
      </c>
      <c r="B2" s="27">
        <v>0.27083333333333331</v>
      </c>
      <c r="C2" s="27">
        <v>0.47638888888888886</v>
      </c>
      <c r="D2" s="27">
        <v>0.51597222222222228</v>
      </c>
      <c r="E2" s="28">
        <v>0.64583333333333337</v>
      </c>
      <c r="F2" s="14">
        <v>0</v>
      </c>
      <c r="G2" s="14">
        <f>SUM(C2 - B2) * 24</f>
        <v>4.9333333333333336</v>
      </c>
      <c r="H2" s="15">
        <f>SUM(E2 - D2) * 24</f>
        <v>3.1166666666666663</v>
      </c>
      <c r="I2" s="5">
        <f>G2 + H2 + F2</f>
        <v>8.0500000000000007</v>
      </c>
      <c r="J2" s="52">
        <f>IF(AND(C2 &lt;&gt; "", D2 &lt;&gt; ""), (SUM(D2-C2)*1440), " - ")</f>
        <v>57.000000000000114</v>
      </c>
      <c r="K2" s="53">
        <f>IF(AND((B2 &lt;&gt; ""), (C2 &lt;&gt; ""), (D2 &lt;&gt; ""), (E2 &lt;&gt; "")), IF((((8 - I2) * 60) + 1) &gt; 0, (((8 - I2) * 60) + 1), (((8 - I2) * 60) - 1)), "-")</f>
        <v>-4.0000000000000426</v>
      </c>
    </row>
    <row r="3" spans="1:11" x14ac:dyDescent="0.35">
      <c r="A3" s="26" t="s">
        <v>6</v>
      </c>
      <c r="B3" s="27">
        <v>0.28819444444444442</v>
      </c>
      <c r="C3" s="27">
        <v>0.49722222222222223</v>
      </c>
      <c r="D3" s="27">
        <v>0.52638888888888891</v>
      </c>
      <c r="E3" s="28">
        <v>0.66666666666666663</v>
      </c>
      <c r="F3" s="15">
        <v>0</v>
      </c>
      <c r="G3" s="14">
        <f t="shared" ref="G3:G6" si="0">SUM(C3 - B3) * 24</f>
        <v>5.0166666666666675</v>
      </c>
      <c r="H3" s="15">
        <f t="shared" ref="H3:H6" si="1">SUM(E3 - D3) * 24</f>
        <v>3.3666666666666654</v>
      </c>
      <c r="I3" s="5">
        <f t="shared" ref="I3:I6" si="2">G3 + H3 + F3</f>
        <v>8.3833333333333329</v>
      </c>
      <c r="J3" s="54">
        <f>IF(AND(C3 &lt;&gt; "", D3 &lt;&gt; ""), (SUM(D3-C3)*1440), " - ")</f>
        <v>42.000000000000014</v>
      </c>
      <c r="K3" s="53">
        <f t="shared" ref="K3:K6" si="3">IF(AND((B3&lt;&gt;""), (C3&lt;&gt;""), (D3&lt;&gt;""), (E3&lt;&gt;"")), IF((((8-I3)*60)+1) &gt; 0, (((8-I3)*60)+1), (((8-I3)*60)-1)), "-")</f>
        <v>-23.999999999999972</v>
      </c>
    </row>
    <row r="4" spans="1:11" x14ac:dyDescent="0.35">
      <c r="A4" s="26" t="s">
        <v>7</v>
      </c>
      <c r="B4" s="27">
        <v>0.28819444444444442</v>
      </c>
      <c r="C4" s="27">
        <v>0.49652777777777779</v>
      </c>
      <c r="D4" s="27">
        <v>0.52500000000000002</v>
      </c>
      <c r="E4" s="28">
        <v>0.6694444444444444</v>
      </c>
      <c r="F4" s="30">
        <v>0</v>
      </c>
      <c r="G4" s="14">
        <f t="shared" si="0"/>
        <v>5.0000000000000009</v>
      </c>
      <c r="H4" s="15">
        <f t="shared" si="1"/>
        <v>3.466666666666665</v>
      </c>
      <c r="I4" s="5">
        <f t="shared" si="2"/>
        <v>8.466666666666665</v>
      </c>
      <c r="J4" s="54">
        <f>IF(AND(C4 &lt;&gt; "", D4 &lt;&gt; ""), (SUM(D4-C4)*1440), " - ")</f>
        <v>41.000000000000014</v>
      </c>
      <c r="K4" s="53">
        <f t="shared" si="3"/>
        <v>-28.999999999999901</v>
      </c>
    </row>
    <row r="5" spans="1:11" x14ac:dyDescent="0.35">
      <c r="A5" s="26" t="s">
        <v>8</v>
      </c>
      <c r="B5" s="27">
        <v>0.28819444444444442</v>
      </c>
      <c r="C5" s="27">
        <v>0.51180555555555551</v>
      </c>
      <c r="D5" s="27">
        <v>0.54027777777777775</v>
      </c>
      <c r="E5" s="28">
        <v>0.66736111111111107</v>
      </c>
      <c r="F5" s="30">
        <v>0</v>
      </c>
      <c r="G5" s="14">
        <f t="shared" si="0"/>
        <v>5.3666666666666663</v>
      </c>
      <c r="H5" s="15">
        <f t="shared" si="1"/>
        <v>3.05</v>
      </c>
      <c r="I5" s="5">
        <f t="shared" si="2"/>
        <v>8.4166666666666661</v>
      </c>
      <c r="J5" s="54">
        <f t="shared" ref="J5:J6" si="4">IF(AND(C5 &lt;&gt; "", D5 &lt;&gt; ""), (SUM(D5-C5)*1440), " - ")</f>
        <v>41.000000000000014</v>
      </c>
      <c r="K5" s="53">
        <f t="shared" si="3"/>
        <v>-25.999999999999964</v>
      </c>
    </row>
    <row r="6" spans="1:11" ht="24" thickBot="1" x14ac:dyDescent="0.4">
      <c r="A6" s="17" t="s">
        <v>9</v>
      </c>
      <c r="B6" s="27">
        <v>0.28819444444444442</v>
      </c>
      <c r="C6" s="27">
        <v>0.48194444444444445</v>
      </c>
      <c r="D6" s="27">
        <v>0.51597222222222228</v>
      </c>
      <c r="E6" s="28">
        <v>0.66666666666666663</v>
      </c>
      <c r="F6" s="15">
        <v>0</v>
      </c>
      <c r="G6" s="14">
        <f t="shared" si="0"/>
        <v>4.6500000000000004</v>
      </c>
      <c r="H6" s="15">
        <f t="shared" si="1"/>
        <v>3.6166666666666645</v>
      </c>
      <c r="I6" s="5">
        <f t="shared" si="2"/>
        <v>8.2666666666666657</v>
      </c>
      <c r="J6" s="54">
        <f t="shared" si="4"/>
        <v>49.000000000000064</v>
      </c>
      <c r="K6" s="53">
        <f t="shared" si="3"/>
        <v>-16.999999999999943</v>
      </c>
    </row>
    <row r="7" spans="1:11" ht="36.75" thickBot="1" x14ac:dyDescent="0.6">
      <c r="B7" s="9"/>
      <c r="H7" s="2" t="s">
        <v>10</v>
      </c>
      <c r="I7" s="6">
        <f>SUM(I2:I6)</f>
        <v>41.583333333333329</v>
      </c>
    </row>
    <row r="8" spans="1:11" ht="24" thickBot="1" x14ac:dyDescent="0.4"/>
    <row r="9" spans="1:11" ht="24" thickBot="1" x14ac:dyDescent="0.4">
      <c r="H9" s="7" t="s">
        <v>11</v>
      </c>
      <c r="I9" s="8">
        <f>40-I7</f>
        <v>-1.5833333333333286</v>
      </c>
      <c r="J9" s="10"/>
    </row>
  </sheetData>
  <conditionalFormatting sqref="I2:I6">
    <cfRule type="cellIs" dxfId="95" priority="1" operator="greaterThan">
      <formula>7.99999999</formula>
    </cfRule>
    <cfRule type="cellIs" dxfId="94" priority="2" operator="lessThan">
      <formula>8</formula>
    </cfRule>
  </conditionalFormatting>
  <conditionalFormatting sqref="I7">
    <cfRule type="cellIs" dxfId="93" priority="3" operator="lessThan">
      <formula>40</formula>
    </cfRule>
    <cfRule type="cellIs" dxfId="92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1A89-B909-415E-9995-C6E5EE9941E4}"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  <c r="K1" s="51" t="s">
        <v>17</v>
      </c>
    </row>
    <row r="2" spans="1:11" x14ac:dyDescent="0.35">
      <c r="A2" s="26" t="s">
        <v>5</v>
      </c>
      <c r="B2" s="27">
        <v>0.27083333333333331</v>
      </c>
      <c r="C2" s="27">
        <v>0.50972222222222219</v>
      </c>
      <c r="D2" s="27">
        <v>0.54652777777777772</v>
      </c>
      <c r="E2" s="28">
        <v>0.64583333333333337</v>
      </c>
      <c r="F2" s="14">
        <v>0</v>
      </c>
      <c r="G2" s="14">
        <f>SUM(C2 - B2) * 24</f>
        <v>5.7333333333333325</v>
      </c>
      <c r="H2" s="15">
        <f>SUM(E2 - D2) * 24</f>
        <v>2.3833333333333355</v>
      </c>
      <c r="I2" s="5">
        <f>G2 + H2 + F2</f>
        <v>8.1166666666666671</v>
      </c>
      <c r="J2" s="52">
        <f>IF(AND(C2 &lt;&gt; "", D2 &lt;&gt; ""), (SUM(D2-C2)*1440), " - ")</f>
        <v>52.999999999999972</v>
      </c>
      <c r="K2" s="53">
        <f>IF(AND((B2 &lt;&gt; ""), (C2 &lt;&gt; ""), (D2 &lt;&gt; ""), (E2 &lt;&gt; "")), IF((((8 - I2) * 60) + 1) &gt; 0, (((8 - I2) * 60) + 1), (((8 - I2) * 60) - 1)), "-")</f>
        <v>-8.0000000000000284</v>
      </c>
    </row>
    <row r="3" spans="1:11" x14ac:dyDescent="0.35">
      <c r="A3" s="26" t="s">
        <v>6</v>
      </c>
      <c r="B3" s="27">
        <v>0.28819444444444442</v>
      </c>
      <c r="C3" s="27">
        <v>0.51041666666666663</v>
      </c>
      <c r="D3" s="27">
        <v>0.53819444444444442</v>
      </c>
      <c r="E3" s="28">
        <v>0.66666666666666663</v>
      </c>
      <c r="F3" s="15">
        <v>0</v>
      </c>
      <c r="G3" s="14">
        <f t="shared" ref="G3:G6" si="0">SUM(C3 - B3) * 24</f>
        <v>5.333333333333333</v>
      </c>
      <c r="H3" s="15">
        <f t="shared" ref="H3:H6" si="1">SUM(E3 - D3) * 24</f>
        <v>3.083333333333333</v>
      </c>
      <c r="I3" s="5">
        <f t="shared" ref="I3:I6" si="2">G3 + H3 + F3</f>
        <v>8.4166666666666661</v>
      </c>
      <c r="J3" s="54">
        <f>IF(AND(C3 &lt;&gt; "", D3 &lt;&gt; ""), (SUM(D3-C3)*1440), " - ")</f>
        <v>40.000000000000014</v>
      </c>
      <c r="K3" s="53">
        <f t="shared" ref="K3:K6" si="3">IF(AND((B3&lt;&gt;""), (C3&lt;&gt;""), (D3&lt;&gt;""), (E3&lt;&gt;"")), IF((((8-I3)*60)+1) &gt; 0, (((8-I3)*60)+1), (((8-I3)*60)-1)), "-")</f>
        <v>-25.999999999999964</v>
      </c>
    </row>
    <row r="4" spans="1:11" x14ac:dyDescent="0.35">
      <c r="A4" s="26" t="s">
        <v>7</v>
      </c>
      <c r="B4" s="27">
        <v>0.28819444444444442</v>
      </c>
      <c r="C4" s="27">
        <v>0.50555555555555554</v>
      </c>
      <c r="D4" s="27">
        <v>0.53263888888888888</v>
      </c>
      <c r="E4" s="28">
        <v>0.66666666666666663</v>
      </c>
      <c r="F4" s="30">
        <v>0</v>
      </c>
      <c r="G4" s="14">
        <f t="shared" si="0"/>
        <v>5.2166666666666668</v>
      </c>
      <c r="H4" s="15">
        <f t="shared" si="1"/>
        <v>3.2166666666666659</v>
      </c>
      <c r="I4" s="5">
        <f t="shared" si="2"/>
        <v>8.4333333333333336</v>
      </c>
      <c r="J4" s="54">
        <f>IF(AND(C4 &lt;&gt; "", D4 &lt;&gt; ""), (SUM(D4-C4)*1440), " - ")</f>
        <v>39.000000000000021</v>
      </c>
      <c r="K4" s="53">
        <f t="shared" si="3"/>
        <v>-27.000000000000014</v>
      </c>
    </row>
    <row r="5" spans="1:11" x14ac:dyDescent="0.35">
      <c r="A5" s="26" t="s">
        <v>8</v>
      </c>
      <c r="B5" s="27">
        <v>0.28888888888888886</v>
      </c>
      <c r="C5" s="27">
        <v>0.4861111111111111</v>
      </c>
      <c r="D5" s="27">
        <v>0.51666666666666672</v>
      </c>
      <c r="E5" s="28">
        <v>0.66805555555555551</v>
      </c>
      <c r="F5" s="30">
        <v>0</v>
      </c>
      <c r="G5" s="14">
        <f t="shared" si="0"/>
        <v>4.7333333333333343</v>
      </c>
      <c r="H5" s="15">
        <f t="shared" si="1"/>
        <v>3.6333333333333311</v>
      </c>
      <c r="I5" s="5">
        <f t="shared" si="2"/>
        <v>8.3666666666666654</v>
      </c>
      <c r="J5" s="54">
        <f t="shared" ref="J5:J6" si="4">IF(AND(C5 &lt;&gt; "", D5 &lt;&gt; ""), (SUM(D5-C5)*1440), " - ")</f>
        <v>44.000000000000085</v>
      </c>
      <c r="K5" s="53">
        <f t="shared" si="3"/>
        <v>-22.999999999999922</v>
      </c>
    </row>
    <row r="6" spans="1:11" ht="24" thickBot="1" x14ac:dyDescent="0.4">
      <c r="A6" s="17" t="s">
        <v>9</v>
      </c>
      <c r="B6" s="27">
        <v>0.28819444444444442</v>
      </c>
      <c r="C6" s="27">
        <v>0.48541666666666666</v>
      </c>
      <c r="D6" s="27">
        <v>0.51527777777777772</v>
      </c>
      <c r="E6" s="28">
        <v>0.66666666666666663</v>
      </c>
      <c r="F6" s="15">
        <v>0</v>
      </c>
      <c r="G6" s="14">
        <f t="shared" si="0"/>
        <v>4.7333333333333343</v>
      </c>
      <c r="H6" s="15">
        <f t="shared" si="1"/>
        <v>3.6333333333333337</v>
      </c>
      <c r="I6" s="5">
        <f t="shared" si="2"/>
        <v>8.3666666666666671</v>
      </c>
      <c r="J6" s="54">
        <f t="shared" si="4"/>
        <v>42.999999999999929</v>
      </c>
      <c r="K6" s="53">
        <f t="shared" si="3"/>
        <v>-23.000000000000028</v>
      </c>
    </row>
    <row r="7" spans="1:11" ht="36.75" thickBot="1" x14ac:dyDescent="0.6">
      <c r="B7" s="9"/>
      <c r="H7" s="2" t="s">
        <v>10</v>
      </c>
      <c r="I7" s="6">
        <f>SUM(I2:I6)</f>
        <v>41.699999999999996</v>
      </c>
    </row>
    <row r="8" spans="1:11" ht="24" thickBot="1" x14ac:dyDescent="0.4"/>
    <row r="9" spans="1:11" ht="24" thickBot="1" x14ac:dyDescent="0.4">
      <c r="H9" s="7" t="s">
        <v>11</v>
      </c>
      <c r="I9" s="8">
        <f>40-I7</f>
        <v>-1.6999999999999957</v>
      </c>
      <c r="J9" s="10"/>
    </row>
  </sheetData>
  <conditionalFormatting sqref="I2:I6">
    <cfRule type="cellIs" dxfId="91" priority="1" operator="greaterThan">
      <formula>7.99999999</formula>
    </cfRule>
    <cfRule type="cellIs" dxfId="90" priority="2" operator="lessThan">
      <formula>8</formula>
    </cfRule>
  </conditionalFormatting>
  <conditionalFormatting sqref="I7">
    <cfRule type="cellIs" dxfId="89" priority="3" operator="lessThan">
      <formula>40</formula>
    </cfRule>
    <cfRule type="cellIs" dxfId="88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05B4-1F47-4520-B3BC-D010607C74C8}">
  <sheetPr codeName="Sheet12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  <c r="K1" s="51" t="s">
        <v>17</v>
      </c>
    </row>
    <row r="2" spans="1:11" x14ac:dyDescent="0.35">
      <c r="A2" s="26" t="s">
        <v>5</v>
      </c>
      <c r="B2" s="27">
        <v>0.28819444444444442</v>
      </c>
      <c r="C2" s="27">
        <v>0.52083333333333337</v>
      </c>
      <c r="D2" s="27">
        <v>0.55138888888888893</v>
      </c>
      <c r="E2" s="28">
        <v>0.66666666666666663</v>
      </c>
      <c r="F2" s="14">
        <v>0</v>
      </c>
      <c r="G2" s="14">
        <f>SUM(C2-B2)*24</f>
        <v>5.5833333333333348</v>
      </c>
      <c r="H2" s="15">
        <f>SUM(E2-D2)*24</f>
        <v>2.7666666666666648</v>
      </c>
      <c r="I2" s="5">
        <f t="shared" ref="I2:I6" si="0">G2+H2+F2</f>
        <v>8.35</v>
      </c>
      <c r="J2" s="52">
        <f>IF(AND(C2 &lt;&gt; "", D2 &lt;&gt; ""), (SUM(D2-C2)*1440), " - ")</f>
        <v>44</v>
      </c>
      <c r="K2" s="53">
        <f>IF(AND((B2&lt;&gt;""), (C2&lt;&gt;""), (D2&lt;&gt;""), (E2&lt;&gt;"")), IF((((8-I2)*60)+1) &gt; 0, (((8-I2)*60)+1), (((8-I2)*60)-1)), "-")</f>
        <v>-21.999999999999979</v>
      </c>
    </row>
    <row r="3" spans="1:11" x14ac:dyDescent="0.35">
      <c r="A3" s="26" t="s">
        <v>6</v>
      </c>
      <c r="B3" s="27">
        <v>0.28819444444444442</v>
      </c>
      <c r="C3" s="27">
        <v>0.48402777777777778</v>
      </c>
      <c r="D3" s="27">
        <v>0.51666666666666672</v>
      </c>
      <c r="E3" s="28">
        <v>0.66666666666666663</v>
      </c>
      <c r="F3" s="15">
        <v>0</v>
      </c>
      <c r="G3" s="14">
        <f>SUM(C3-B3)*24</f>
        <v>4.7000000000000011</v>
      </c>
      <c r="H3" s="15">
        <f>SUM(E3-D3)*24</f>
        <v>3.5999999999999979</v>
      </c>
      <c r="I3" s="5">
        <f t="shared" si="0"/>
        <v>8.2999999999999989</v>
      </c>
      <c r="J3" s="54">
        <f>IF(AND(C3 &lt;&gt; "", D3 &lt;&gt; ""), (SUM(D3-C3)*1440), " - ")</f>
        <v>47.000000000000071</v>
      </c>
      <c r="K3" s="53">
        <f t="shared" ref="K3:K6" si="1">IF(AND((B3&lt;&gt;""), (C3&lt;&gt;""), (D3&lt;&gt;""), (E3&lt;&gt;"")), IF((((8-I3)*60)+1) &gt; 0, (((8-I3)*60)+1), (((8-I3)*60)-1)), "-")</f>
        <v>-18.999999999999936</v>
      </c>
    </row>
    <row r="4" spans="1:11" x14ac:dyDescent="0.35">
      <c r="A4" s="26" t="s">
        <v>7</v>
      </c>
      <c r="B4" s="27">
        <v>0.28819444444444442</v>
      </c>
      <c r="C4" s="27">
        <v>0.50138888888888888</v>
      </c>
      <c r="D4" s="27">
        <v>0.53055555555555556</v>
      </c>
      <c r="E4" s="28">
        <v>0.66666666666666663</v>
      </c>
      <c r="F4" s="30">
        <v>0</v>
      </c>
      <c r="G4" s="29">
        <f>SUM(C4-B4)*24</f>
        <v>5.1166666666666671</v>
      </c>
      <c r="H4" s="30">
        <f>SUM(E4-D4)*24</f>
        <v>3.2666666666666657</v>
      </c>
      <c r="I4" s="31">
        <f t="shared" si="0"/>
        <v>8.3833333333333329</v>
      </c>
      <c r="J4" s="54">
        <f>IF(AND(C4 &lt;&gt; "", D4 &lt;&gt; ""), (SUM(D4-C4)*1440), " - ")</f>
        <v>42.000000000000014</v>
      </c>
      <c r="K4" s="53">
        <f t="shared" si="1"/>
        <v>-23.999999999999972</v>
      </c>
    </row>
    <row r="5" spans="1:11" x14ac:dyDescent="0.35">
      <c r="A5" s="26" t="s">
        <v>8</v>
      </c>
      <c r="B5" s="27">
        <v>0.28680555555555554</v>
      </c>
      <c r="C5" s="27">
        <v>0.49791666666666667</v>
      </c>
      <c r="D5" s="27">
        <v>0.52916666666666667</v>
      </c>
      <c r="E5" s="28">
        <v>0.66666666666666663</v>
      </c>
      <c r="F5" s="30">
        <v>0</v>
      </c>
      <c r="G5" s="29">
        <f>SUM(C5-B5)*24</f>
        <v>5.0666666666666673</v>
      </c>
      <c r="H5" s="30">
        <f t="shared" ref="H5:H6" si="2">SUM(E5-D5)*24</f>
        <v>3.2999999999999989</v>
      </c>
      <c r="I5" s="31">
        <f t="shared" si="0"/>
        <v>8.3666666666666671</v>
      </c>
      <c r="J5" s="54">
        <f t="shared" ref="J5:J6" si="3">IF(AND(C5 &lt;&gt; "", D5 &lt;&gt; ""), (SUM(D5-C5)*1440), " - ")</f>
        <v>45</v>
      </c>
      <c r="K5" s="53">
        <f t="shared" si="1"/>
        <v>-23.000000000000028</v>
      </c>
    </row>
    <row r="6" spans="1:11" ht="24" thickBot="1" x14ac:dyDescent="0.4">
      <c r="A6" s="17" t="s">
        <v>9</v>
      </c>
      <c r="B6" s="27">
        <v>0.28819444444444442</v>
      </c>
      <c r="C6" s="27">
        <v>0.50069444444444444</v>
      </c>
      <c r="D6" s="27">
        <v>0.53125</v>
      </c>
      <c r="E6" s="28">
        <v>0.66666666666666663</v>
      </c>
      <c r="F6" s="15">
        <v>0</v>
      </c>
      <c r="G6" s="14">
        <f t="shared" ref="G6" si="4">SUM(C6-B6)*24</f>
        <v>5.1000000000000005</v>
      </c>
      <c r="H6" s="15">
        <f t="shared" si="2"/>
        <v>3.2499999999999991</v>
      </c>
      <c r="I6" s="5">
        <f t="shared" si="0"/>
        <v>8.35</v>
      </c>
      <c r="J6" s="54">
        <f t="shared" si="3"/>
        <v>44</v>
      </c>
      <c r="K6" s="53">
        <f t="shared" si="1"/>
        <v>-21.999999999999979</v>
      </c>
    </row>
    <row r="7" spans="1:11" ht="36.75" thickBot="1" x14ac:dyDescent="0.6">
      <c r="B7" s="9"/>
      <c r="H7" s="2" t="s">
        <v>10</v>
      </c>
      <c r="I7" s="6">
        <f>SUM(I2:I6)</f>
        <v>41.75</v>
      </c>
    </row>
    <row r="8" spans="1:11" ht="24" thickBot="1" x14ac:dyDescent="0.4"/>
    <row r="9" spans="1:11" ht="24" thickBot="1" x14ac:dyDescent="0.4">
      <c r="H9" s="7" t="s">
        <v>11</v>
      </c>
      <c r="I9" s="8">
        <f>40-I7</f>
        <v>-1.75</v>
      </c>
      <c r="J9" s="10"/>
    </row>
  </sheetData>
  <conditionalFormatting sqref="I2:I6">
    <cfRule type="cellIs" dxfId="87" priority="1" operator="greaterThan">
      <formula>7.99999999</formula>
    </cfRule>
    <cfRule type="cellIs" dxfId="86" priority="2" operator="lessThan">
      <formula>8</formula>
    </cfRule>
  </conditionalFormatting>
  <conditionalFormatting sqref="I7">
    <cfRule type="cellIs" dxfId="85" priority="3" operator="lessThan">
      <formula>40</formula>
    </cfRule>
    <cfRule type="cellIs" dxfId="84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465C-BAF7-4E6A-9A2E-A3D6CCC9D874}">
  <sheetPr codeName="Sheet13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  <c r="K1" s="51" t="s">
        <v>17</v>
      </c>
    </row>
    <row r="2" spans="1:11" x14ac:dyDescent="0.35">
      <c r="A2" s="26" t="s">
        <v>5</v>
      </c>
      <c r="B2" s="27">
        <v>0.28819444444444442</v>
      </c>
      <c r="C2" s="27">
        <v>0.54305555555555551</v>
      </c>
      <c r="D2" s="27">
        <v>0.57013888888888886</v>
      </c>
      <c r="E2" s="28">
        <v>0.66666666666666663</v>
      </c>
      <c r="F2" s="14"/>
      <c r="G2" s="14">
        <f>SUM(C2-B2)*24</f>
        <v>6.1166666666666663</v>
      </c>
      <c r="H2" s="15">
        <f>SUM(E2-D2)*24</f>
        <v>2.3166666666666664</v>
      </c>
      <c r="I2" s="5">
        <f t="shared" ref="I2:I6" si="0">G2+H2+F2</f>
        <v>8.4333333333333336</v>
      </c>
      <c r="J2" s="52">
        <f>IF(AND(C2 &lt;&gt; "", D2 &lt;&gt; ""), (SUM(D2-C2)*1440), " - ")</f>
        <v>39.000000000000021</v>
      </c>
      <c r="K2" s="53">
        <f>IF(AND((B2&lt;&gt;""), (C2&lt;&gt;""), (D2&lt;&gt;""), (E2&lt;&gt;"")), IF((((8-I2)*60)+1) &gt; 0, (((8-I2)*60)+1), (((8-I2)*60)-1)), "-")</f>
        <v>-27.000000000000014</v>
      </c>
    </row>
    <row r="3" spans="1:11" x14ac:dyDescent="0.35">
      <c r="A3" s="26" t="s">
        <v>6</v>
      </c>
      <c r="B3" s="27">
        <v>0.28819444444444442</v>
      </c>
      <c r="C3" s="27">
        <v>0.55347222222222225</v>
      </c>
      <c r="D3" s="27">
        <v>0.58263888888888893</v>
      </c>
      <c r="E3" s="28">
        <v>0.69652777777777775</v>
      </c>
      <c r="F3" s="15"/>
      <c r="G3" s="14">
        <f>SUM(C3-B3)*24</f>
        <v>6.366666666666668</v>
      </c>
      <c r="H3" s="15">
        <f>SUM(E3-D3)*24</f>
        <v>2.7333333333333316</v>
      </c>
      <c r="I3" s="5">
        <f t="shared" si="0"/>
        <v>9.1</v>
      </c>
      <c r="J3" s="54">
        <f>IF(AND(C3 &lt;&gt; "", D3 &lt;&gt; ""), (SUM(D3-C3)*1440), " - ")</f>
        <v>42.000000000000014</v>
      </c>
      <c r="K3" s="53">
        <f t="shared" ref="K3:K6" si="1">IF(AND((B3&lt;&gt;""), (C3&lt;&gt;""), (D3&lt;&gt;""), (E3&lt;&gt;"")), IF((((8-I3)*60)+1) &gt; 0, (((8-I3)*60)+1), (((8-I3)*60)-1)), "-")</f>
        <v>-66.999999999999972</v>
      </c>
    </row>
    <row r="4" spans="1:11" x14ac:dyDescent="0.35">
      <c r="A4" s="26" t="s">
        <v>7</v>
      </c>
      <c r="B4" s="27">
        <v>0.28819444444444442</v>
      </c>
      <c r="C4" s="27">
        <v>0.50069444444444444</v>
      </c>
      <c r="D4" s="27">
        <v>0.53125</v>
      </c>
      <c r="E4" s="28">
        <v>0.66666666666666663</v>
      </c>
      <c r="F4" s="30"/>
      <c r="G4" s="29">
        <f>SUM(C4-B4)*24</f>
        <v>5.1000000000000005</v>
      </c>
      <c r="H4" s="30">
        <f>SUM(E4-D4)*24</f>
        <v>3.2499999999999991</v>
      </c>
      <c r="I4" s="31">
        <f t="shared" si="0"/>
        <v>8.35</v>
      </c>
      <c r="J4" s="54">
        <f>IF(AND(C4 &lt;&gt; "", D4 &lt;&gt; ""), (SUM(D4-C4)*1440), " - ")</f>
        <v>44</v>
      </c>
      <c r="K4" s="53">
        <f t="shared" si="1"/>
        <v>-21.999999999999979</v>
      </c>
    </row>
    <row r="5" spans="1:11" x14ac:dyDescent="0.35">
      <c r="A5" s="26" t="s">
        <v>8</v>
      </c>
      <c r="B5" s="55"/>
      <c r="C5" s="55"/>
      <c r="D5" s="55"/>
      <c r="E5" s="56"/>
      <c r="F5" s="30">
        <v>8</v>
      </c>
      <c r="G5" s="29">
        <f>SUM(C5-B5)*24</f>
        <v>0</v>
      </c>
      <c r="H5" s="30">
        <f t="shared" ref="H5:H6" si="2">SUM(E5-D5)*24</f>
        <v>0</v>
      </c>
      <c r="I5" s="31">
        <f t="shared" si="0"/>
        <v>8</v>
      </c>
      <c r="J5" s="54" t="str">
        <f t="shared" ref="J5:J6" si="3">IF(AND(C5 &lt;&gt; "", D5 &lt;&gt; ""), (SUM(D5-C5)*1440), " - ")</f>
        <v xml:space="preserve"> - </v>
      </c>
      <c r="K5" s="53" t="str">
        <f t="shared" si="1"/>
        <v>-</v>
      </c>
    </row>
    <row r="6" spans="1:11" ht="24" thickBot="1" x14ac:dyDescent="0.4">
      <c r="A6" s="17" t="s">
        <v>9</v>
      </c>
      <c r="B6" s="55"/>
      <c r="C6" s="55"/>
      <c r="D6" s="55"/>
      <c r="E6" s="56"/>
      <c r="F6" s="15">
        <v>8</v>
      </c>
      <c r="G6" s="14">
        <f t="shared" ref="G6" si="4">SUM(C6-B6)*24</f>
        <v>0</v>
      </c>
      <c r="H6" s="15">
        <f t="shared" si="2"/>
        <v>0</v>
      </c>
      <c r="I6" s="5">
        <f t="shared" si="0"/>
        <v>8</v>
      </c>
      <c r="J6" s="54" t="str">
        <f t="shared" si="3"/>
        <v xml:space="preserve"> - </v>
      </c>
      <c r="K6" s="53" t="str">
        <f t="shared" si="1"/>
        <v>-</v>
      </c>
    </row>
    <row r="7" spans="1:11" ht="36.75" thickBot="1" x14ac:dyDescent="0.6">
      <c r="B7" s="9"/>
      <c r="H7" s="2" t="s">
        <v>10</v>
      </c>
      <c r="I7" s="6">
        <f>SUM(I2:I6)</f>
        <v>41.883333333333333</v>
      </c>
    </row>
    <row r="8" spans="1:11" ht="24" thickBot="1" x14ac:dyDescent="0.4"/>
    <row r="9" spans="1:11" ht="24" thickBot="1" x14ac:dyDescent="0.4">
      <c r="H9" s="7" t="s">
        <v>11</v>
      </c>
      <c r="I9" s="8">
        <f>40-I7</f>
        <v>-1.8833333333333329</v>
      </c>
      <c r="J9" s="10"/>
    </row>
  </sheetData>
  <conditionalFormatting sqref="I2:I6">
    <cfRule type="cellIs" dxfId="83" priority="1" operator="greaterThan">
      <formula>7.99999999</formula>
    </cfRule>
    <cfRule type="cellIs" dxfId="82" priority="2" operator="lessThan">
      <formula>8</formula>
    </cfRule>
  </conditionalFormatting>
  <conditionalFormatting sqref="I7">
    <cfRule type="cellIs" dxfId="81" priority="3" operator="lessThan">
      <formula>40</formula>
    </cfRule>
    <cfRule type="cellIs" dxfId="80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3484-BB4E-4EDD-AC48-F69393EAE777}">
  <sheetPr codeName="Sheet14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  <c r="K1" s="51" t="s">
        <v>17</v>
      </c>
    </row>
    <row r="2" spans="1:11" x14ac:dyDescent="0.35">
      <c r="A2" s="26" t="s">
        <v>5</v>
      </c>
      <c r="B2" s="27">
        <v>0.28819444444444442</v>
      </c>
      <c r="C2" s="27">
        <v>0.48194444444444445</v>
      </c>
      <c r="D2" s="27">
        <v>0.51666666666666672</v>
      </c>
      <c r="E2" s="28">
        <v>0.66666666666666663</v>
      </c>
      <c r="F2" s="14">
        <v>0</v>
      </c>
      <c r="G2" s="14">
        <f>SUM(C2-B2)*24</f>
        <v>4.6500000000000004</v>
      </c>
      <c r="H2" s="15">
        <f>SUM(E2-D2)*24</f>
        <v>3.5999999999999979</v>
      </c>
      <c r="I2" s="5">
        <f t="shared" ref="I2:I6" si="0">G2+H2+F2</f>
        <v>8.2499999999999982</v>
      </c>
      <c r="J2" s="52">
        <f>IF(AND(C2 &lt;&gt; "", D2 &lt;&gt; ""), (SUM(D2-C2)*1440), " - ")</f>
        <v>50.000000000000064</v>
      </c>
      <c r="K2" s="53">
        <f>IF(AND((B2&lt;&gt;""), (C2&lt;&gt;""), (D2&lt;&gt;""), (E2&lt;&gt;"")), IF((((8-I2)*60)+1) &gt; 0, (((8-I2)*60)+1), (((8-I2)*60)-1)), "-")</f>
        <v>-15.999999999999893</v>
      </c>
    </row>
    <row r="3" spans="1:11" x14ac:dyDescent="0.35">
      <c r="A3" s="26" t="s">
        <v>6</v>
      </c>
      <c r="B3" s="27">
        <v>0.28819444444444442</v>
      </c>
      <c r="C3" s="27">
        <v>0.47013888888888888</v>
      </c>
      <c r="D3" s="27">
        <v>0.50416666666666665</v>
      </c>
      <c r="E3" s="28">
        <v>0.66666666666666663</v>
      </c>
      <c r="F3" s="15">
        <v>0</v>
      </c>
      <c r="G3" s="14">
        <f>SUM(C3-B3)*24</f>
        <v>4.3666666666666671</v>
      </c>
      <c r="H3" s="15">
        <f>SUM(E3-D3)*24</f>
        <v>3.8999999999999995</v>
      </c>
      <c r="I3" s="5">
        <f t="shared" si="0"/>
        <v>8.2666666666666657</v>
      </c>
      <c r="J3" s="54">
        <f>IF(AND(C3 &lt;&gt; "", D3 &lt;&gt; ""), (SUM(D3-C3)*1440), " - ")</f>
        <v>48.999999999999986</v>
      </c>
      <c r="K3" s="53">
        <f t="shared" ref="K3:K6" si="1">IF(AND((B3&lt;&gt;""), (C3&lt;&gt;""), (D3&lt;&gt;""), (E3&lt;&gt;"")), IF((((8-I3)*60)+1) &gt; 0, (((8-I3)*60)+1), (((8-I3)*60)-1)), "-")</f>
        <v>-16.999999999999943</v>
      </c>
    </row>
    <row r="4" spans="1:11" x14ac:dyDescent="0.35">
      <c r="A4" s="26" t="s">
        <v>7</v>
      </c>
      <c r="B4" s="27">
        <v>0.28819444444444442</v>
      </c>
      <c r="C4" s="27">
        <v>0.50972222222222219</v>
      </c>
      <c r="D4" s="27">
        <v>0.53888888888888886</v>
      </c>
      <c r="E4" s="28">
        <v>0.66666666666666663</v>
      </c>
      <c r="F4" s="30">
        <v>0</v>
      </c>
      <c r="G4" s="29">
        <f>SUM(C4-B4)*24</f>
        <v>5.3166666666666664</v>
      </c>
      <c r="H4" s="30">
        <f>SUM(E4-D4)*24</f>
        <v>3.0666666666666664</v>
      </c>
      <c r="I4" s="31">
        <f t="shared" si="0"/>
        <v>8.3833333333333329</v>
      </c>
      <c r="J4" s="54">
        <f>IF(AND(C4 &lt;&gt; "", D4 &lt;&gt; ""), (SUM(D4-C4)*1440), " - ")</f>
        <v>42.000000000000014</v>
      </c>
      <c r="K4" s="53">
        <f t="shared" si="1"/>
        <v>-23.999999999999972</v>
      </c>
    </row>
    <row r="5" spans="1:11" x14ac:dyDescent="0.35">
      <c r="A5" s="26" t="s">
        <v>8</v>
      </c>
      <c r="B5" s="27">
        <v>0.28819444444444442</v>
      </c>
      <c r="C5" s="27">
        <v>0.50277777777777777</v>
      </c>
      <c r="D5" s="27">
        <v>0.53125</v>
      </c>
      <c r="E5" s="28">
        <v>0.66666666666666663</v>
      </c>
      <c r="F5" s="30">
        <v>0</v>
      </c>
      <c r="G5" s="29">
        <f>SUM(C5-B5)*24</f>
        <v>5.15</v>
      </c>
      <c r="H5" s="30">
        <f t="shared" ref="H5:H6" si="2">SUM(E5-D5)*24</f>
        <v>3.2499999999999991</v>
      </c>
      <c r="I5" s="31">
        <f t="shared" si="0"/>
        <v>8.3999999999999986</v>
      </c>
      <c r="J5" s="54">
        <f t="shared" ref="J5:J6" si="3">IF(AND(C5 &lt;&gt; "", D5 &lt;&gt; ""), (SUM(D5-C5)*1440), " - ")</f>
        <v>41.000000000000014</v>
      </c>
      <c r="K5" s="53">
        <f t="shared" si="1"/>
        <v>-24.999999999999915</v>
      </c>
    </row>
    <row r="6" spans="1:11" ht="24" thickBot="1" x14ac:dyDescent="0.4">
      <c r="A6" s="17" t="s">
        <v>9</v>
      </c>
      <c r="B6" s="27">
        <v>0.28819444444444442</v>
      </c>
      <c r="C6" s="27">
        <v>0.51527777777777772</v>
      </c>
      <c r="D6" s="27">
        <v>0.54513888888888884</v>
      </c>
      <c r="E6" s="28">
        <v>0.66666666666666663</v>
      </c>
      <c r="F6" s="15">
        <v>0</v>
      </c>
      <c r="G6" s="14">
        <f t="shared" ref="G6" si="4">SUM(C6-B6)*24</f>
        <v>5.4499999999999993</v>
      </c>
      <c r="H6" s="15">
        <f t="shared" si="2"/>
        <v>2.916666666666667</v>
      </c>
      <c r="I6" s="5">
        <f t="shared" si="0"/>
        <v>8.3666666666666671</v>
      </c>
      <c r="J6" s="54">
        <f t="shared" si="3"/>
        <v>43.000000000000007</v>
      </c>
      <c r="K6" s="53">
        <f t="shared" si="1"/>
        <v>-23.000000000000028</v>
      </c>
    </row>
    <row r="7" spans="1:11" ht="36.75" thickBot="1" x14ac:dyDescent="0.6">
      <c r="B7" s="9"/>
      <c r="H7" s="2" t="s">
        <v>10</v>
      </c>
      <c r="I7" s="6">
        <f>SUM(I2:I6)</f>
        <v>41.666666666666664</v>
      </c>
    </row>
    <row r="8" spans="1:11" ht="24" thickBot="1" x14ac:dyDescent="0.4"/>
    <row r="9" spans="1:11" ht="24" thickBot="1" x14ac:dyDescent="0.4">
      <c r="H9" s="7" t="s">
        <v>11</v>
      </c>
      <c r="I9" s="8">
        <f>40-I7</f>
        <v>-1.6666666666666643</v>
      </c>
      <c r="J9" s="10"/>
    </row>
  </sheetData>
  <conditionalFormatting sqref="I2:I6">
    <cfRule type="cellIs" dxfId="79" priority="1" operator="greaterThan">
      <formula>7.99999999</formula>
    </cfRule>
    <cfRule type="cellIs" dxfId="78" priority="2" operator="lessThan">
      <formula>8</formula>
    </cfRule>
  </conditionalFormatting>
  <conditionalFormatting sqref="I7">
    <cfRule type="cellIs" dxfId="77" priority="3" operator="lessThan">
      <formula>40</formula>
    </cfRule>
    <cfRule type="cellIs" dxfId="76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B77B-D7CE-4E6C-B69B-C020BEE6B2D7}">
  <sheetPr codeName="Sheet15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  <c r="K1" s="51" t="s">
        <v>17</v>
      </c>
    </row>
    <row r="2" spans="1:11" x14ac:dyDescent="0.35">
      <c r="A2" s="26" t="s">
        <v>5</v>
      </c>
      <c r="B2" s="27">
        <v>0.28819444444444442</v>
      </c>
      <c r="C2" s="27">
        <v>0.48402777777777778</v>
      </c>
      <c r="D2" s="27">
        <v>0.5131944444444444</v>
      </c>
      <c r="E2" s="28">
        <v>0.66666666666666663</v>
      </c>
      <c r="F2" s="14"/>
      <c r="G2" s="14">
        <f>SUM(C2-B2)*24</f>
        <v>4.7000000000000011</v>
      </c>
      <c r="H2" s="15">
        <f>SUM(E2-D2)*24</f>
        <v>3.6833333333333336</v>
      </c>
      <c r="I2" s="5">
        <f t="shared" ref="I2:I6" si="0">G2+H2+F2</f>
        <v>8.3833333333333346</v>
      </c>
      <c r="J2" s="52">
        <f>IF(AND(C2 &lt;&gt; "", D2 &lt;&gt; ""), (SUM(D2-C2)*1440), " - ")</f>
        <v>41.999999999999929</v>
      </c>
      <c r="K2" s="53">
        <f>IF(AND((B2&lt;&gt;""), (C2&lt;&gt;""), (D2&lt;&gt;""), (E2&lt;&gt;"")), IF((((8-I2)*60)+1) &gt; 0, (((8-I2)*60)+1), (((8-I2)*60)-1)), "-")</f>
        <v>-24.000000000000078</v>
      </c>
    </row>
    <row r="3" spans="1:11" x14ac:dyDescent="0.35">
      <c r="A3" s="26" t="s">
        <v>6</v>
      </c>
      <c r="B3" s="27">
        <v>0.28819444444444442</v>
      </c>
      <c r="C3" s="27">
        <v>0.48333333333333334</v>
      </c>
      <c r="D3" s="27">
        <v>0.51388888888888884</v>
      </c>
      <c r="E3" s="28">
        <v>0.66666666666666663</v>
      </c>
      <c r="F3" s="15"/>
      <c r="G3" s="14">
        <f>SUM(C3-B3)*24</f>
        <v>4.6833333333333336</v>
      </c>
      <c r="H3" s="15">
        <f>SUM(E3-D3)*24</f>
        <v>3.666666666666667</v>
      </c>
      <c r="I3" s="5">
        <f t="shared" si="0"/>
        <v>8.3500000000000014</v>
      </c>
      <c r="J3" s="54">
        <f>IF(AND(C3 &lt;&gt; "", D3 &lt;&gt; ""), (SUM(D3-C3)*1440), " - ")</f>
        <v>43.999999999999922</v>
      </c>
      <c r="K3" s="53">
        <f t="shared" ref="K3:K6" si="1">IF(AND((B3&lt;&gt;""), (C3&lt;&gt;""), (D3&lt;&gt;""), (E3&lt;&gt;"")), IF((((8-I3)*60)+1) &gt; 0, (((8-I3)*60)+1), (((8-I3)*60)-1)), "-")</f>
        <v>-22.000000000000085</v>
      </c>
    </row>
    <row r="4" spans="1:11" x14ac:dyDescent="0.35">
      <c r="A4" s="26" t="s">
        <v>7</v>
      </c>
      <c r="B4" s="27">
        <v>0.28819444444444442</v>
      </c>
      <c r="C4" s="27">
        <v>0.48402777777777778</v>
      </c>
      <c r="D4" s="27">
        <v>0.5131944444444444</v>
      </c>
      <c r="E4" s="28">
        <v>0.66666666666666663</v>
      </c>
      <c r="F4" s="30"/>
      <c r="G4" s="29">
        <f>SUM(C4-B4)*24</f>
        <v>4.7000000000000011</v>
      </c>
      <c r="H4" s="30">
        <f>SUM(E4-D4)*24</f>
        <v>3.6833333333333336</v>
      </c>
      <c r="I4" s="31">
        <f t="shared" si="0"/>
        <v>8.3833333333333346</v>
      </c>
      <c r="J4" s="54">
        <f>IF(AND(C4 &lt;&gt; "", D4 &lt;&gt; ""), (SUM(D4-C4)*1440), " - ")</f>
        <v>41.999999999999929</v>
      </c>
      <c r="K4" s="53">
        <f t="shared" si="1"/>
        <v>-24.000000000000078</v>
      </c>
    </row>
    <row r="5" spans="1:11" x14ac:dyDescent="0.35">
      <c r="A5" s="26" t="s">
        <v>8</v>
      </c>
      <c r="B5" s="27">
        <v>0.28819444444444442</v>
      </c>
      <c r="C5" s="27">
        <v>0.48194444444444445</v>
      </c>
      <c r="D5" s="27">
        <v>0.51180555555555551</v>
      </c>
      <c r="E5" s="28">
        <v>0.66666666666666663</v>
      </c>
      <c r="F5" s="30">
        <v>0</v>
      </c>
      <c r="G5" s="29">
        <f>SUM(C5-B5)*24</f>
        <v>4.6500000000000004</v>
      </c>
      <c r="H5" s="30">
        <f t="shared" ref="H5:H6" si="2">SUM(E5-D5)*24</f>
        <v>3.7166666666666668</v>
      </c>
      <c r="I5" s="31">
        <f t="shared" si="0"/>
        <v>8.3666666666666671</v>
      </c>
      <c r="J5" s="54">
        <f t="shared" ref="J5:J6" si="3">IF(AND(C5 &lt;&gt; "", D5 &lt;&gt; ""), (SUM(D5-C5)*1440), " - ")</f>
        <v>42.999999999999929</v>
      </c>
      <c r="K5" s="53">
        <f t="shared" si="1"/>
        <v>-23.000000000000028</v>
      </c>
    </row>
    <row r="6" spans="1:11" ht="24" thickBot="1" x14ac:dyDescent="0.4">
      <c r="A6" s="17" t="s">
        <v>9</v>
      </c>
      <c r="B6" s="27">
        <v>0.28819444444444442</v>
      </c>
      <c r="C6" s="27">
        <v>0.48472222222222222</v>
      </c>
      <c r="D6" s="27">
        <v>0.5180555555555556</v>
      </c>
      <c r="E6" s="28">
        <v>0.66666666666666663</v>
      </c>
      <c r="F6" s="15">
        <v>0</v>
      </c>
      <c r="G6" s="14">
        <f t="shared" ref="G6" si="4">SUM(C6-B6)*24</f>
        <v>4.7166666666666668</v>
      </c>
      <c r="H6" s="15">
        <f t="shared" si="2"/>
        <v>3.5666666666666647</v>
      </c>
      <c r="I6" s="5">
        <f t="shared" si="0"/>
        <v>8.2833333333333314</v>
      </c>
      <c r="J6" s="54">
        <f t="shared" si="3"/>
        <v>48.000000000000071</v>
      </c>
      <c r="K6" s="53">
        <f t="shared" si="1"/>
        <v>-17.999999999999886</v>
      </c>
    </row>
    <row r="7" spans="1:11" ht="36.75" thickBot="1" x14ac:dyDescent="0.6">
      <c r="B7" s="9"/>
      <c r="H7" s="2" t="s">
        <v>10</v>
      </c>
      <c r="I7" s="6">
        <f>SUM(I2:I6)</f>
        <v>41.766666666666666</v>
      </c>
    </row>
    <row r="8" spans="1:11" ht="24" thickBot="1" x14ac:dyDescent="0.4"/>
    <row r="9" spans="1:11" ht="24" thickBot="1" x14ac:dyDescent="0.4">
      <c r="H9" s="7" t="s">
        <v>11</v>
      </c>
      <c r="I9" s="8">
        <f>40-I7</f>
        <v>-1.7666666666666657</v>
      </c>
      <c r="J9" s="10"/>
    </row>
  </sheetData>
  <conditionalFormatting sqref="I2:I6">
    <cfRule type="cellIs" dxfId="75" priority="1" operator="greaterThan">
      <formula>7.99999999</formula>
    </cfRule>
    <cfRule type="cellIs" dxfId="74" priority="2" operator="lessThan">
      <formula>8</formula>
    </cfRule>
  </conditionalFormatting>
  <conditionalFormatting sqref="I7">
    <cfRule type="cellIs" dxfId="73" priority="3" operator="lessThan">
      <formula>40</formula>
    </cfRule>
    <cfRule type="cellIs" dxfId="72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A730-24F4-4B9B-BF3E-BBD3390F3475}">
  <sheetPr codeName="Sheet16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  <c r="K1" s="51" t="s">
        <v>17</v>
      </c>
    </row>
    <row r="2" spans="1:11" x14ac:dyDescent="0.35">
      <c r="A2" s="26" t="s">
        <v>5</v>
      </c>
      <c r="B2" s="27">
        <v>0.28819444444444442</v>
      </c>
      <c r="C2" s="27">
        <v>0.49652777777777779</v>
      </c>
      <c r="D2" s="27">
        <v>0.52569444444444446</v>
      </c>
      <c r="E2" s="28">
        <v>0.66666666666666663</v>
      </c>
      <c r="F2" s="14"/>
      <c r="G2" s="14">
        <f>SUM(C2-B2)*24</f>
        <v>5.0000000000000009</v>
      </c>
      <c r="H2" s="15">
        <f>SUM(E2-D2)*24</f>
        <v>3.383333333333332</v>
      </c>
      <c r="I2" s="5">
        <f t="shared" ref="I2:I6" si="0">G2+H2+F2</f>
        <v>8.3833333333333329</v>
      </c>
      <c r="J2" s="52">
        <f>IF(AND(C2 &lt;&gt; "", D2 &lt;&gt; ""), (SUM(D2-C2)*1440), " - ")</f>
        <v>42.000000000000014</v>
      </c>
      <c r="K2" s="53">
        <f>IF(AND((B2&lt;&gt;""), (C2&lt;&gt;""), (D2&lt;&gt;""), (E2&lt;&gt;"")), IF((((8-I2)*60)+1) &gt; 0, (((8-I2)*60)+1), (((8-I2)*60)-1)), "-")</f>
        <v>-23.999999999999972</v>
      </c>
    </row>
    <row r="3" spans="1:11" x14ac:dyDescent="0.35">
      <c r="A3" s="26" t="s">
        <v>6</v>
      </c>
      <c r="B3" s="27">
        <v>0.28819444444444442</v>
      </c>
      <c r="C3" s="27">
        <v>0.54583333333333328</v>
      </c>
      <c r="D3" s="27">
        <v>0.57777777777777772</v>
      </c>
      <c r="E3" s="28">
        <v>0.66666666666666663</v>
      </c>
      <c r="F3" s="15"/>
      <c r="G3" s="14">
        <f>SUM(C3-B3)*24</f>
        <v>6.1833333333333327</v>
      </c>
      <c r="H3" s="15">
        <f>SUM(E3-D3)*24</f>
        <v>2.1333333333333337</v>
      </c>
      <c r="I3" s="5">
        <f t="shared" si="0"/>
        <v>8.3166666666666664</v>
      </c>
      <c r="J3" s="54">
        <f>IF(AND(C3 &lt;&gt; "", D3 &lt;&gt; ""), (SUM(D3-C3)*1440), " - ")</f>
        <v>46</v>
      </c>
      <c r="K3" s="53">
        <f t="shared" ref="K3:K6" si="1">IF(AND((B3&lt;&gt;""), (C3&lt;&gt;""), (D3&lt;&gt;""), (E3&lt;&gt;"")), IF((((8-I3)*60)+1) &gt; 0, (((8-I3)*60)+1), (((8-I3)*60)-1)), "-")</f>
        <v>-19.999999999999986</v>
      </c>
    </row>
    <row r="4" spans="1:11" x14ac:dyDescent="0.35">
      <c r="A4" s="26" t="s">
        <v>7</v>
      </c>
      <c r="B4" s="27">
        <v>0.28819444444444442</v>
      </c>
      <c r="C4" s="27">
        <v>0.49305555555555558</v>
      </c>
      <c r="D4" s="27">
        <v>0.52430555555555558</v>
      </c>
      <c r="E4" s="28">
        <v>0.66805555555555551</v>
      </c>
      <c r="F4" s="30"/>
      <c r="G4" s="29">
        <f>SUM(C4-B4)*24</f>
        <v>4.9166666666666679</v>
      </c>
      <c r="H4" s="30">
        <f>SUM(E4-D4)*24</f>
        <v>3.4499999999999984</v>
      </c>
      <c r="I4" s="31">
        <f t="shared" si="0"/>
        <v>8.3666666666666671</v>
      </c>
      <c r="J4" s="54">
        <f>IF(AND(C4 &lt;&gt; "", D4 &lt;&gt; ""), (SUM(D4-C4)*1440), " - ")</f>
        <v>45</v>
      </c>
      <c r="K4" s="53">
        <f t="shared" si="1"/>
        <v>-23.000000000000028</v>
      </c>
    </row>
    <row r="5" spans="1:11" x14ac:dyDescent="0.35">
      <c r="A5" s="26" t="s">
        <v>8</v>
      </c>
      <c r="B5" s="27">
        <v>0.28819444444444442</v>
      </c>
      <c r="C5" s="27">
        <v>0.5131944444444444</v>
      </c>
      <c r="D5" s="27">
        <v>0.53819444444444442</v>
      </c>
      <c r="E5" s="28">
        <v>0.66666666666666663</v>
      </c>
      <c r="F5" s="30">
        <v>0</v>
      </c>
      <c r="G5" s="29">
        <f>SUM(C5-B5)*24</f>
        <v>5.3999999999999995</v>
      </c>
      <c r="H5" s="30">
        <f t="shared" ref="H5:H6" si="2">SUM(E5-D5)*24</f>
        <v>3.083333333333333</v>
      </c>
      <c r="I5" s="31">
        <f t="shared" si="0"/>
        <v>8.4833333333333325</v>
      </c>
      <c r="J5" s="54">
        <f t="shared" ref="J5:J6" si="3">IF(AND(C5 &lt;&gt; "", D5 &lt;&gt; ""), (SUM(D5-C5)*1440), " - ")</f>
        <v>36.000000000000028</v>
      </c>
      <c r="K5" s="53">
        <f t="shared" si="1"/>
        <v>-29.99999999999995</v>
      </c>
    </row>
    <row r="6" spans="1:11" ht="24" thickBot="1" x14ac:dyDescent="0.4">
      <c r="A6" s="17" t="s">
        <v>9</v>
      </c>
      <c r="B6" s="27">
        <v>0.28819444444444442</v>
      </c>
      <c r="C6" s="27">
        <v>0.48333333333333334</v>
      </c>
      <c r="D6" s="27">
        <v>0.51458333333333328</v>
      </c>
      <c r="E6" s="28">
        <v>0.66666666666666663</v>
      </c>
      <c r="F6" s="15">
        <v>0</v>
      </c>
      <c r="G6" s="14">
        <f t="shared" ref="G6" si="4">SUM(C6-B6)*24</f>
        <v>4.6833333333333336</v>
      </c>
      <c r="H6" s="15">
        <f t="shared" si="2"/>
        <v>3.6500000000000004</v>
      </c>
      <c r="I6" s="5">
        <f t="shared" si="0"/>
        <v>8.3333333333333339</v>
      </c>
      <c r="J6" s="54">
        <f t="shared" si="3"/>
        <v>44.999999999999922</v>
      </c>
      <c r="K6" s="53">
        <f t="shared" si="1"/>
        <v>-21.000000000000036</v>
      </c>
    </row>
    <row r="7" spans="1:11" ht="36.75" thickBot="1" x14ac:dyDescent="0.6">
      <c r="B7" s="9"/>
      <c r="H7" s="2" t="s">
        <v>10</v>
      </c>
      <c r="I7" s="6">
        <f>SUM(I2:I6)</f>
        <v>41.883333333333333</v>
      </c>
    </row>
    <row r="8" spans="1:11" ht="24" thickBot="1" x14ac:dyDescent="0.4"/>
    <row r="9" spans="1:11" ht="24" thickBot="1" x14ac:dyDescent="0.4">
      <c r="H9" s="7" t="s">
        <v>11</v>
      </c>
      <c r="I9" s="8">
        <f>40-I7</f>
        <v>-1.8833333333333329</v>
      </c>
      <c r="J9" s="10"/>
    </row>
  </sheetData>
  <conditionalFormatting sqref="I2:I6">
    <cfRule type="cellIs" dxfId="71" priority="1" operator="greaterThan">
      <formula>7.99999999</formula>
    </cfRule>
    <cfRule type="cellIs" dxfId="70" priority="2" operator="lessThan">
      <formula>8</formula>
    </cfRule>
  </conditionalFormatting>
  <conditionalFormatting sqref="I7">
    <cfRule type="cellIs" dxfId="69" priority="3" operator="lessThan">
      <formula>40</formula>
    </cfRule>
    <cfRule type="cellIs" dxfId="68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2EEA-978C-462D-A696-7C8533A4D8C7}">
  <sheetPr codeName="Sheet17"/>
  <dimension ref="A1:K9"/>
  <sheetViews>
    <sheetView zoomScale="85" zoomScaleNormal="85" workbookViewId="0">
      <selection activeCell="D6" sqref="D6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  <c r="K1" s="51" t="s">
        <v>17</v>
      </c>
    </row>
    <row r="2" spans="1:11" x14ac:dyDescent="0.35">
      <c r="A2" s="26" t="s">
        <v>5</v>
      </c>
      <c r="B2" s="27">
        <v>0.28819444444444442</v>
      </c>
      <c r="C2" s="27">
        <v>0.50555555555555554</v>
      </c>
      <c r="D2" s="27">
        <v>0.53541666666666665</v>
      </c>
      <c r="E2" s="28">
        <v>0.66666666666666663</v>
      </c>
      <c r="F2" s="14"/>
      <c r="G2" s="14">
        <f>SUM(C2-B2)*24</f>
        <v>5.2166666666666668</v>
      </c>
      <c r="H2" s="15">
        <f>SUM(E2-D2)*24</f>
        <v>3.1499999999999995</v>
      </c>
      <c r="I2" s="5">
        <f t="shared" ref="I2:I6" si="0">G2+H2+F2</f>
        <v>8.3666666666666671</v>
      </c>
      <c r="J2" s="52">
        <f>IF(AND(C2 &lt;&gt; "", D2 &lt;&gt; ""), (SUM(D2-C2)*1440), " - ")</f>
        <v>43.000000000000007</v>
      </c>
      <c r="K2" s="53">
        <f>IF(AND((B2&lt;&gt;""), (C2&lt;&gt;""), (D2&lt;&gt;""), (E2&lt;&gt;"")), IF((((8-I2)*60)+1) &gt; 0, (((8-I2)*60)+1), (((8-I2)*60)-1)), "-")</f>
        <v>-23.000000000000028</v>
      </c>
    </row>
    <row r="3" spans="1:11" x14ac:dyDescent="0.35">
      <c r="A3" s="26" t="s">
        <v>6</v>
      </c>
      <c r="B3" s="27">
        <v>0.27777777777777779</v>
      </c>
      <c r="C3" s="27">
        <v>0.51180555555555551</v>
      </c>
      <c r="D3" s="27">
        <v>0.5493055555555556</v>
      </c>
      <c r="E3" s="28">
        <v>0.64930555555555558</v>
      </c>
      <c r="F3" s="15"/>
      <c r="G3" s="14">
        <f>SUM(C3-B3)*24</f>
        <v>5.6166666666666654</v>
      </c>
      <c r="H3" s="15">
        <f>SUM(E3-D3)*24</f>
        <v>2.3999999999999995</v>
      </c>
      <c r="I3" s="5">
        <f t="shared" si="0"/>
        <v>8.0166666666666657</v>
      </c>
      <c r="J3" s="54">
        <f>IF(AND(C3 &lt;&gt; "", D3 &lt;&gt; ""), (SUM(D3-C3)*1440), " - ")</f>
        <v>54.000000000000128</v>
      </c>
      <c r="K3" s="53">
        <f t="shared" ref="K3:K6" si="1">IF(AND((B3&lt;&gt;""), (C3&lt;&gt;""), (D3&lt;&gt;""), (E3&lt;&gt;"")), IF((((8-I3)*60)+1) &gt; 0, (((8-I3)*60)+1), (((8-I3)*60)-1)), "-")</f>
        <v>5.6843418860808015E-14</v>
      </c>
    </row>
    <row r="4" spans="1:11" x14ac:dyDescent="0.35">
      <c r="A4" s="26" t="s">
        <v>7</v>
      </c>
      <c r="B4" s="27">
        <v>0.28819444444444442</v>
      </c>
      <c r="C4" s="27">
        <v>0.53680555555555554</v>
      </c>
      <c r="D4" s="27">
        <v>0.56388888888888888</v>
      </c>
      <c r="E4" s="28">
        <v>0.66805555555555551</v>
      </c>
      <c r="F4" s="30"/>
      <c r="G4" s="29">
        <f>SUM(C4-B4)*24</f>
        <v>5.9666666666666668</v>
      </c>
      <c r="H4" s="30">
        <f>SUM(E4-D4)*24</f>
        <v>2.4999999999999991</v>
      </c>
      <c r="I4" s="31">
        <f t="shared" si="0"/>
        <v>8.466666666666665</v>
      </c>
      <c r="J4" s="54">
        <f>IF(AND(C4 &lt;&gt; "", D4 &lt;&gt; ""), (SUM(D4-C4)*1440), " - ")</f>
        <v>39.000000000000021</v>
      </c>
      <c r="K4" s="53">
        <f t="shared" si="1"/>
        <v>-28.999999999999901</v>
      </c>
    </row>
    <row r="5" spans="1:11" x14ac:dyDescent="0.35">
      <c r="A5" s="26" t="s">
        <v>8</v>
      </c>
      <c r="B5" s="27">
        <v>0.28819444444444442</v>
      </c>
      <c r="C5" s="27">
        <v>0.49236111111111114</v>
      </c>
      <c r="D5" s="27">
        <v>0.52013888888888893</v>
      </c>
      <c r="E5" s="28">
        <v>0.66736111111111107</v>
      </c>
      <c r="F5" s="30"/>
      <c r="G5" s="29">
        <f>SUM(C5-B5)*24</f>
        <v>4.9000000000000012</v>
      </c>
      <c r="H5" s="30">
        <f t="shared" ref="H5:H6" si="2">SUM(E5-D5)*24</f>
        <v>3.5333333333333314</v>
      </c>
      <c r="I5" s="31">
        <f t="shared" si="0"/>
        <v>8.4333333333333336</v>
      </c>
      <c r="J5" s="54">
        <f t="shared" ref="J5:J6" si="3">IF(AND(C5 &lt;&gt; "", D5 &lt;&gt; ""), (SUM(D5-C5)*1440), " - ")</f>
        <v>40.000000000000014</v>
      </c>
      <c r="K5" s="53">
        <f t="shared" si="1"/>
        <v>-27.000000000000014</v>
      </c>
    </row>
    <row r="6" spans="1:11" ht="24" thickBot="1" x14ac:dyDescent="0.4">
      <c r="A6" s="17" t="s">
        <v>9</v>
      </c>
      <c r="B6" s="27">
        <v>0.28749999999999998</v>
      </c>
      <c r="C6" s="27">
        <v>0.45902777777777776</v>
      </c>
      <c r="D6" s="49"/>
      <c r="E6" s="50"/>
      <c r="F6" s="30">
        <v>4</v>
      </c>
      <c r="G6" s="14">
        <f t="shared" ref="G6" si="4">SUM(C6-B6)*24</f>
        <v>4.1166666666666671</v>
      </c>
      <c r="H6" s="15">
        <f t="shared" si="2"/>
        <v>0</v>
      </c>
      <c r="I6" s="5">
        <f t="shared" si="0"/>
        <v>8.1166666666666671</v>
      </c>
      <c r="J6" s="54" t="str">
        <f t="shared" si="3"/>
        <v xml:space="preserve"> - </v>
      </c>
      <c r="K6" s="53" t="str">
        <f t="shared" si="1"/>
        <v>-</v>
      </c>
    </row>
    <row r="7" spans="1:11" ht="36.75" thickBot="1" x14ac:dyDescent="0.6">
      <c r="B7" s="9"/>
      <c r="H7" s="2" t="s">
        <v>10</v>
      </c>
      <c r="I7" s="6">
        <f>SUM(I2:I6)</f>
        <v>41.4</v>
      </c>
    </row>
    <row r="8" spans="1:11" ht="24" thickBot="1" x14ac:dyDescent="0.4"/>
    <row r="9" spans="1:11" ht="24" thickBot="1" x14ac:dyDescent="0.4">
      <c r="H9" s="7" t="s">
        <v>11</v>
      </c>
      <c r="I9" s="8">
        <f>40-I7</f>
        <v>-1.3999999999999986</v>
      </c>
      <c r="J9" s="10"/>
    </row>
  </sheetData>
  <conditionalFormatting sqref="I2:I6">
    <cfRule type="cellIs" dxfId="67" priority="1" operator="greaterThan">
      <formula>7.99999999</formula>
    </cfRule>
    <cfRule type="cellIs" dxfId="66" priority="2" operator="lessThan">
      <formula>8</formula>
    </cfRule>
  </conditionalFormatting>
  <conditionalFormatting sqref="I7">
    <cfRule type="cellIs" dxfId="65" priority="3" operator="lessThan">
      <formula>40</formula>
    </cfRule>
    <cfRule type="cellIs" dxfId="64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2B4C-BBB5-4BBC-A186-BB6BFCC1D718}">
  <sheetPr codeName="Sheet18"/>
  <dimension ref="A1:K10"/>
  <sheetViews>
    <sheetView zoomScale="85" zoomScaleNormal="85" workbookViewId="0">
      <selection activeCell="D6" sqref="D6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  <c r="K1" s="51" t="s">
        <v>17</v>
      </c>
    </row>
    <row r="2" spans="1:11" x14ac:dyDescent="0.35">
      <c r="A2" s="26" t="s">
        <v>5</v>
      </c>
      <c r="B2" s="27">
        <v>0.28819444444444442</v>
      </c>
      <c r="C2" s="27">
        <v>0.48958333333333331</v>
      </c>
      <c r="D2" s="27">
        <v>0.51736111111111116</v>
      </c>
      <c r="E2" s="28">
        <v>0.66666666666666663</v>
      </c>
      <c r="F2" s="14"/>
      <c r="G2" s="14">
        <f>SUM(C2-B2)*24</f>
        <v>4.8333333333333339</v>
      </c>
      <c r="H2" s="15">
        <f>SUM(E2-D2)*24</f>
        <v>3.5833333333333313</v>
      </c>
      <c r="I2" s="5">
        <f t="shared" ref="I2:I7" si="0">G2+H2+F2</f>
        <v>8.4166666666666643</v>
      </c>
      <c r="J2" s="52">
        <f>IF(AND(C2 &lt;&gt; "", D2 &lt;&gt; ""), (SUM(D2-C2)*1440), " - ")</f>
        <v>40.000000000000099</v>
      </c>
      <c r="K2" s="53">
        <f>IF(AND((B2&lt;&gt;""), (C2&lt;&gt;""), (D2&lt;&gt;""), (E2&lt;&gt;"")), IF((((8-I2)*60)+1) &gt; 0, (((8-I2)*60)+1), (((8-I2)*60)-1)), "-")</f>
        <v>-25.999999999999858</v>
      </c>
    </row>
    <row r="3" spans="1:11" x14ac:dyDescent="0.35">
      <c r="A3" s="26" t="s">
        <v>6</v>
      </c>
      <c r="B3" s="27">
        <v>0.2722222222222222</v>
      </c>
      <c r="C3" s="27">
        <v>0.46944444444444444</v>
      </c>
      <c r="D3" s="27">
        <v>0.50694444444444442</v>
      </c>
      <c r="E3" s="28">
        <v>0.55208333333333337</v>
      </c>
      <c r="F3" s="15"/>
      <c r="G3" s="14">
        <f>SUM(C3-B3)*24</f>
        <v>4.7333333333333343</v>
      </c>
      <c r="H3" s="15">
        <f>SUM(E3-D3)*24</f>
        <v>1.0833333333333348</v>
      </c>
      <c r="I3" s="5">
        <f t="shared" si="0"/>
        <v>5.8166666666666691</v>
      </c>
      <c r="J3" s="54">
        <f>IF(AND(C3 &lt;&gt; "", D3 &lt;&gt; ""), (SUM(D3-C3)*1440), " - ")</f>
        <v>53.999999999999972</v>
      </c>
      <c r="K3" s="53">
        <f t="shared" ref="K3:K7" si="1">IF(AND((B3&lt;&gt;""), (C3&lt;&gt;""), (D3&lt;&gt;""), (E3&lt;&gt;"")), IF((((8-I3)*60)+1) &gt; 0, (((8-I3)*60)+1), (((8-I3)*60)-1)), "-")</f>
        <v>131.99999999999986</v>
      </c>
    </row>
    <row r="4" spans="1:11" x14ac:dyDescent="0.35">
      <c r="A4" s="26"/>
      <c r="B4" s="27"/>
      <c r="C4" s="27"/>
      <c r="D4" s="27">
        <v>0.61805555555555558</v>
      </c>
      <c r="E4" s="28">
        <v>0.70972222222222225</v>
      </c>
      <c r="F4" s="15"/>
      <c r="G4" s="14">
        <f>SUM(C4-B4)*24</f>
        <v>0</v>
      </c>
      <c r="H4" s="15">
        <f>SUM(E4-D4)*24</f>
        <v>2.2000000000000002</v>
      </c>
      <c r="I4" s="5">
        <f>G4+H4+F4</f>
        <v>2.2000000000000002</v>
      </c>
      <c r="J4" s="54"/>
      <c r="K4" s="53"/>
    </row>
    <row r="5" spans="1:11" x14ac:dyDescent="0.35">
      <c r="A5" s="26" t="s">
        <v>7</v>
      </c>
      <c r="B5" s="27">
        <v>0.28680555555555554</v>
      </c>
      <c r="C5" s="27">
        <v>0.58263888888888893</v>
      </c>
      <c r="D5" s="27">
        <v>0.6118055555555556</v>
      </c>
      <c r="E5" s="28">
        <v>0.66666666666666663</v>
      </c>
      <c r="F5" s="30"/>
      <c r="G5" s="29">
        <f>SUM(C5-B5)*24</f>
        <v>7.1000000000000014</v>
      </c>
      <c r="H5" s="30">
        <f>SUM(E5-D5)*24</f>
        <v>1.3166666666666647</v>
      </c>
      <c r="I5" s="31">
        <f t="shared" si="0"/>
        <v>8.4166666666666661</v>
      </c>
      <c r="J5" s="54">
        <f>IF(AND(C5 &lt;&gt; "", D5 &lt;&gt; ""), (SUM(D5-C5)*1440), " - ")</f>
        <v>42.000000000000014</v>
      </c>
      <c r="K5" s="53">
        <f t="shared" si="1"/>
        <v>-25.999999999999964</v>
      </c>
    </row>
    <row r="6" spans="1:11" x14ac:dyDescent="0.35">
      <c r="A6" s="26" t="s">
        <v>8</v>
      </c>
      <c r="B6" s="27">
        <v>0.28819444444444442</v>
      </c>
      <c r="C6" s="27">
        <v>0.49791666666666667</v>
      </c>
      <c r="D6" s="27">
        <v>0.52986111111111112</v>
      </c>
      <c r="E6" s="28">
        <v>0.66666666666666663</v>
      </c>
      <c r="F6" s="30">
        <v>0</v>
      </c>
      <c r="G6" s="29">
        <f>SUM(C6-B6)*24</f>
        <v>5.0333333333333341</v>
      </c>
      <c r="H6" s="30">
        <f t="shared" ref="H6:H7" si="2">SUM(E6-D6)*24</f>
        <v>3.2833333333333323</v>
      </c>
      <c r="I6" s="31">
        <f t="shared" si="0"/>
        <v>8.3166666666666664</v>
      </c>
      <c r="J6" s="54">
        <f t="shared" ref="J6:J7" si="3">IF(AND(C6 &lt;&gt; "", D6 &lt;&gt; ""), (SUM(D6-C6)*1440), " - ")</f>
        <v>46</v>
      </c>
      <c r="K6" s="53">
        <f t="shared" si="1"/>
        <v>-19.999999999999986</v>
      </c>
    </row>
    <row r="7" spans="1:11" ht="24" thickBot="1" x14ac:dyDescent="0.4">
      <c r="A7" s="17" t="s">
        <v>9</v>
      </c>
      <c r="B7" s="27">
        <v>0.28819444444444442</v>
      </c>
      <c r="C7" s="27">
        <v>0.53125</v>
      </c>
      <c r="D7" s="27">
        <v>0.55902777777777779</v>
      </c>
      <c r="E7" s="28">
        <v>0.66666666666666663</v>
      </c>
      <c r="F7" s="15">
        <v>0</v>
      </c>
      <c r="G7" s="14">
        <f t="shared" ref="G7" si="4">SUM(C7-B7)*24</f>
        <v>5.8333333333333339</v>
      </c>
      <c r="H7" s="15">
        <f t="shared" si="2"/>
        <v>2.5833333333333321</v>
      </c>
      <c r="I7" s="5">
        <f t="shared" si="0"/>
        <v>8.4166666666666661</v>
      </c>
      <c r="J7" s="54">
        <f t="shared" si="3"/>
        <v>40.000000000000014</v>
      </c>
      <c r="K7" s="53">
        <f t="shared" si="1"/>
        <v>-25.999999999999964</v>
      </c>
    </row>
    <row r="8" spans="1:11" ht="36.75" thickBot="1" x14ac:dyDescent="0.6">
      <c r="B8" s="9"/>
      <c r="H8" s="2" t="s">
        <v>10</v>
      </c>
      <c r="I8" s="6">
        <f>SUM(I2:I7)</f>
        <v>41.583333333333336</v>
      </c>
    </row>
    <row r="9" spans="1:11" ht="24" thickBot="1" x14ac:dyDescent="0.4"/>
    <row r="10" spans="1:11" ht="24" thickBot="1" x14ac:dyDescent="0.4">
      <c r="H10" s="7" t="s">
        <v>11</v>
      </c>
      <c r="I10" s="8">
        <f>40-I8</f>
        <v>-1.5833333333333357</v>
      </c>
      <c r="J10" s="10"/>
    </row>
  </sheetData>
  <conditionalFormatting sqref="I2:I7">
    <cfRule type="cellIs" dxfId="63" priority="1" operator="greaterThan">
      <formula>7.99999999</formula>
    </cfRule>
    <cfRule type="cellIs" dxfId="62" priority="2" operator="lessThan">
      <formula>8</formula>
    </cfRule>
  </conditionalFormatting>
  <conditionalFormatting sqref="I8">
    <cfRule type="cellIs" dxfId="61" priority="3" operator="lessThan">
      <formula>40</formula>
    </cfRule>
    <cfRule type="cellIs" dxfId="60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83DE-CAED-4E31-B2D8-5E7B59132752}">
  <sheetPr codeName="Sheet19"/>
  <dimension ref="A1:K9"/>
  <sheetViews>
    <sheetView zoomScale="85" zoomScaleNormal="85" workbookViewId="0">
      <selection activeCell="D6" sqref="D6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  <c r="K1" s="46" t="s">
        <v>17</v>
      </c>
    </row>
    <row r="2" spans="1:11" x14ac:dyDescent="0.35">
      <c r="A2" s="26" t="s">
        <v>5</v>
      </c>
      <c r="B2" s="27">
        <v>0.28819444444444442</v>
      </c>
      <c r="C2" s="27">
        <v>0.3347222222222222</v>
      </c>
      <c r="D2" s="27">
        <v>0.37638888888888888</v>
      </c>
      <c r="E2" s="28">
        <v>0.45833333333333331</v>
      </c>
      <c r="F2" s="14">
        <v>5</v>
      </c>
      <c r="G2" s="14">
        <f>SUM(C2-B2)*24</f>
        <v>1.1166666666666667</v>
      </c>
      <c r="H2" s="15">
        <f>SUM(E2-D2)*24</f>
        <v>1.9666666666666663</v>
      </c>
      <c r="I2" s="5">
        <f t="shared" ref="I2:I6" si="0">G2+H2+F2</f>
        <v>8.0833333333333321</v>
      </c>
      <c r="J2" s="45">
        <f>IF(AND(C2 &lt;&gt; "", D2 &lt;&gt; ""), (SUM(D2-C2)*1440), " - ")</f>
        <v>60.000000000000028</v>
      </c>
      <c r="K2" s="45">
        <f>IF(AND((B2&lt;&gt;""), (C2&lt;&gt;""), (D2&lt;&gt;""), (E2&lt;&gt;"")), IF((((8-I2)*60)+1) &gt; 0, (((8-I2)*60)+1), (((8-I2)*60)-1)), "-")</f>
        <v>-5.9999999999999289</v>
      </c>
    </row>
    <row r="3" spans="1:11" x14ac:dyDescent="0.35">
      <c r="A3" s="26" t="s">
        <v>6</v>
      </c>
      <c r="B3" s="49"/>
      <c r="C3" s="49"/>
      <c r="D3" s="49"/>
      <c r="E3" s="50"/>
      <c r="F3" s="15">
        <v>8</v>
      </c>
      <c r="G3" s="14">
        <f>SUM(C3-B3)*24</f>
        <v>0</v>
      </c>
      <c r="H3" s="15">
        <f>SUM(E3-D3)*24</f>
        <v>0</v>
      </c>
      <c r="I3" s="5">
        <f t="shared" si="0"/>
        <v>8</v>
      </c>
      <c r="J3" s="45" t="str">
        <f>IF(AND(C3 &lt;&gt; "", D3 &lt;&gt; ""), (SUM(D3-C3)*1440), " - ")</f>
        <v xml:space="preserve"> - </v>
      </c>
      <c r="K3" s="45" t="str">
        <f t="shared" ref="K3:K6" si="1">IF(AND((B3&lt;&gt;""), (C3&lt;&gt;""), (D3&lt;&gt;""), (E3&lt;&gt;"")), IF((((8-I3)*60)+1) &gt; 0, (((8-I3)*60)+1), (((8-I3)*60)-1)), "-")</f>
        <v>-</v>
      </c>
    </row>
    <row r="4" spans="1:11" x14ac:dyDescent="0.35">
      <c r="A4" s="26" t="s">
        <v>7</v>
      </c>
      <c r="B4" s="27">
        <v>0.28749999999999998</v>
      </c>
      <c r="C4" s="27">
        <v>0.47916666666666669</v>
      </c>
      <c r="D4" s="27">
        <v>0.5131944444444444</v>
      </c>
      <c r="E4" s="28">
        <v>0.66666666666666663</v>
      </c>
      <c r="F4" s="30"/>
      <c r="G4" s="29">
        <f>SUM(C4-B4)*24</f>
        <v>4.6000000000000014</v>
      </c>
      <c r="H4" s="30">
        <f>SUM(E4-D4)*24</f>
        <v>3.6833333333333336</v>
      </c>
      <c r="I4" s="31">
        <f t="shared" si="0"/>
        <v>8.283333333333335</v>
      </c>
      <c r="J4" s="45">
        <f>IF(AND(C4 &lt;&gt; "", D4 &lt;&gt; ""), (SUM(D4-C4)*1440), " - ")</f>
        <v>48.999999999999908</v>
      </c>
      <c r="K4" s="45">
        <f t="shared" si="1"/>
        <v>-18.000000000000099</v>
      </c>
    </row>
    <row r="5" spans="1:11" x14ac:dyDescent="0.35">
      <c r="A5" s="26" t="s">
        <v>8</v>
      </c>
      <c r="B5" s="27">
        <v>0.28819444444444442</v>
      </c>
      <c r="C5" s="27">
        <v>0.4826388888888889</v>
      </c>
      <c r="D5" s="27">
        <v>0.51597222222222228</v>
      </c>
      <c r="E5" s="28">
        <v>0.66666666666666663</v>
      </c>
      <c r="F5" s="30">
        <v>0</v>
      </c>
      <c r="G5" s="29">
        <f>SUM(C5-B5)*24</f>
        <v>4.6666666666666679</v>
      </c>
      <c r="H5" s="30">
        <f t="shared" ref="H5:H6" si="2">SUM(E5-D5)*24</f>
        <v>3.6166666666666645</v>
      </c>
      <c r="I5" s="31">
        <f t="shared" si="0"/>
        <v>8.2833333333333314</v>
      </c>
      <c r="J5" s="45">
        <f t="shared" ref="J5:J6" si="3">IF(AND(C5 &lt;&gt; "", D5 &lt;&gt; ""), (SUM(D5-C5)*1440), " - ")</f>
        <v>48.000000000000071</v>
      </c>
      <c r="K5" s="45">
        <f t="shared" si="1"/>
        <v>-17.999999999999886</v>
      </c>
    </row>
    <row r="6" spans="1:11" ht="24" thickBot="1" x14ac:dyDescent="0.4">
      <c r="A6" s="17" t="s">
        <v>9</v>
      </c>
      <c r="B6" s="27">
        <v>0.28819444444444442</v>
      </c>
      <c r="C6" s="27">
        <v>0.48125000000000001</v>
      </c>
      <c r="D6" s="27">
        <v>0.51527777777777772</v>
      </c>
      <c r="E6" s="28">
        <v>0.66666666666666663</v>
      </c>
      <c r="F6" s="15">
        <v>0</v>
      </c>
      <c r="G6" s="14">
        <f t="shared" ref="G6" si="4">SUM(C6-B6)*24</f>
        <v>4.6333333333333346</v>
      </c>
      <c r="H6" s="15">
        <f t="shared" si="2"/>
        <v>3.6333333333333337</v>
      </c>
      <c r="I6" s="5">
        <f t="shared" si="0"/>
        <v>8.2666666666666693</v>
      </c>
      <c r="J6" s="45">
        <f t="shared" si="3"/>
        <v>48.999999999999908</v>
      </c>
      <c r="K6" s="45">
        <f t="shared" si="1"/>
        <v>-17.000000000000156</v>
      </c>
    </row>
    <row r="7" spans="1:11" ht="36.75" thickBot="1" x14ac:dyDescent="0.6">
      <c r="B7" s="9"/>
      <c r="H7" s="2" t="s">
        <v>10</v>
      </c>
      <c r="I7" s="6">
        <f>SUM(I2:I6)</f>
        <v>40.916666666666671</v>
      </c>
    </row>
    <row r="8" spans="1:11" ht="24" thickBot="1" x14ac:dyDescent="0.4"/>
    <row r="9" spans="1:11" ht="24" thickBot="1" x14ac:dyDescent="0.4">
      <c r="H9" s="7" t="s">
        <v>11</v>
      </c>
      <c r="I9" s="8">
        <f>40-I7</f>
        <v>-0.9166666666666714</v>
      </c>
      <c r="J9" s="10"/>
    </row>
  </sheetData>
  <conditionalFormatting sqref="I2:I6">
    <cfRule type="cellIs" dxfId="59" priority="1" operator="greaterThan">
      <formula>7.99999999</formula>
    </cfRule>
    <cfRule type="cellIs" dxfId="58" priority="2" operator="lessThan">
      <formula>8</formula>
    </cfRule>
  </conditionalFormatting>
  <conditionalFormatting sqref="I7">
    <cfRule type="cellIs" dxfId="57" priority="3" operator="lessThan">
      <formula>40</formula>
    </cfRule>
    <cfRule type="cellIs" dxfId="56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8D1A-1E31-41E6-BEC3-DAB067AD674E}">
  <sheetPr codeName="Sheet20"/>
  <dimension ref="A1:K10"/>
  <sheetViews>
    <sheetView zoomScale="85" zoomScaleNormal="85" workbookViewId="0">
      <selection activeCell="D6" sqref="D6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  <c r="K1" s="46" t="s">
        <v>17</v>
      </c>
    </row>
    <row r="2" spans="1:11" x14ac:dyDescent="0.35">
      <c r="A2" s="26" t="s">
        <v>5</v>
      </c>
      <c r="B2" s="27">
        <v>0.28819444444444442</v>
      </c>
      <c r="C2" s="27">
        <v>0.53125</v>
      </c>
      <c r="D2" s="27">
        <v>0.56180555555555556</v>
      </c>
      <c r="E2" s="28">
        <v>0.66666666666666663</v>
      </c>
      <c r="F2" s="14"/>
      <c r="G2" s="14">
        <f>SUM(C2-B2)*24</f>
        <v>5.8333333333333339</v>
      </c>
      <c r="H2" s="15">
        <f>SUM(E2-D2)*24</f>
        <v>2.5166666666666657</v>
      </c>
      <c r="I2" s="5">
        <f t="shared" ref="I2:I7" si="0">G2+H2+F2</f>
        <v>8.35</v>
      </c>
      <c r="J2" s="45">
        <f>IF(AND(C2 &lt;&gt; "", D2 &lt;&gt; ""), (SUM(D2-C2)*1440), " - ")</f>
        <v>44</v>
      </c>
      <c r="K2" s="45">
        <f>IF(AND((B2&lt;&gt;""), (C2&lt;&gt;""), (D2&lt;&gt;""), (E2&lt;&gt;"")), IF((((8-I2)*60)+1) &gt; 0, (((8-I2)*60)+1), (((8-I2)*60)-1)), "-")</f>
        <v>-21.999999999999979</v>
      </c>
    </row>
    <row r="3" spans="1:11" x14ac:dyDescent="0.35">
      <c r="A3" s="26" t="s">
        <v>6</v>
      </c>
      <c r="B3" s="49"/>
      <c r="C3" s="49"/>
      <c r="D3" s="49"/>
      <c r="E3" s="50"/>
      <c r="F3" s="15">
        <v>8</v>
      </c>
      <c r="G3" s="14">
        <f>SUM(C3-B3)*24</f>
        <v>0</v>
      </c>
      <c r="H3" s="15">
        <f>SUM(E3-D3)*24</f>
        <v>0</v>
      </c>
      <c r="I3" s="5">
        <f t="shared" si="0"/>
        <v>8</v>
      </c>
      <c r="J3" s="45" t="str">
        <f>IF(AND(C3 &lt;&gt; "", D3 &lt;&gt; ""), (SUM(D3-C3)*1440), " - ")</f>
        <v xml:space="preserve"> - </v>
      </c>
      <c r="K3" s="45" t="str">
        <f t="shared" ref="K3:K7" si="1">IF(AND((B3&lt;&gt;""), (C3&lt;&gt;""), (D3&lt;&gt;""), (E3&lt;&gt;"")), IF((((8-I3)*60)+1) &gt; 0, (((8-I3)*60)+1), (((8-I3)*60)-1)), "-")</f>
        <v>-</v>
      </c>
    </row>
    <row r="4" spans="1:11" x14ac:dyDescent="0.35">
      <c r="A4" s="26" t="s">
        <v>7</v>
      </c>
      <c r="B4" s="27">
        <v>0.28819444444444442</v>
      </c>
      <c r="C4" s="27">
        <v>0.46250000000000002</v>
      </c>
      <c r="D4" s="27">
        <v>0.49027777777777776</v>
      </c>
      <c r="E4" s="28">
        <v>0.66666666666666663</v>
      </c>
      <c r="F4" s="30">
        <v>0</v>
      </c>
      <c r="G4" s="29">
        <f>SUM(C4-B4)*24</f>
        <v>4.1833333333333345</v>
      </c>
      <c r="H4" s="30">
        <f>SUM(E4-D4)*24</f>
        <v>4.2333333333333325</v>
      </c>
      <c r="I4" s="31">
        <f t="shared" si="0"/>
        <v>8.4166666666666679</v>
      </c>
      <c r="J4" s="45">
        <f>IF(AND(C4 &lt;&gt; "", D4 &lt;&gt; ""), (SUM(D4-C4)*1440), " - ")</f>
        <v>39.999999999999936</v>
      </c>
      <c r="K4" s="45">
        <f t="shared" si="1"/>
        <v>-26.000000000000071</v>
      </c>
    </row>
    <row r="5" spans="1:11" x14ac:dyDescent="0.35">
      <c r="A5" s="26" t="s">
        <v>8</v>
      </c>
      <c r="B5" s="27">
        <v>0.27638888888888891</v>
      </c>
      <c r="C5" s="27">
        <v>0.46180555555555558</v>
      </c>
      <c r="D5" s="27">
        <v>0.50069444444444444</v>
      </c>
      <c r="E5" s="28">
        <v>0.62986111111111109</v>
      </c>
      <c r="F5" s="30">
        <v>0</v>
      </c>
      <c r="G5" s="29">
        <f>SUM(C5-B5)*24</f>
        <v>4.45</v>
      </c>
      <c r="H5" s="30">
        <f t="shared" ref="H5:H7" si="2">SUM(E5-D5)*24</f>
        <v>3.0999999999999996</v>
      </c>
      <c r="I5" s="31">
        <f t="shared" si="0"/>
        <v>7.55</v>
      </c>
      <c r="J5" s="45">
        <f t="shared" ref="J5:J7" si="3">IF(AND(C5 &lt;&gt; "", D5 &lt;&gt; ""), (SUM(D5-C5)*1440), " - ")</f>
        <v>55.999999999999957</v>
      </c>
      <c r="K5" s="45">
        <f t="shared" si="1"/>
        <v>28.000000000000011</v>
      </c>
    </row>
    <row r="6" spans="1:11" x14ac:dyDescent="0.35">
      <c r="A6" s="26"/>
      <c r="B6" s="27"/>
      <c r="C6" s="27"/>
      <c r="D6" s="27">
        <v>0.87083333333333335</v>
      </c>
      <c r="E6" s="28">
        <v>0.89375000000000004</v>
      </c>
      <c r="F6" s="30">
        <v>0</v>
      </c>
      <c r="G6" s="29">
        <f>SUM(C6-B6)*24</f>
        <v>0</v>
      </c>
      <c r="H6" s="30">
        <f t="shared" ref="H6" si="4">SUM(E6-D6)*24</f>
        <v>0.55000000000000071</v>
      </c>
      <c r="I6" s="31">
        <f t="shared" ref="I6" si="5">G6+H6+F6</f>
        <v>0.55000000000000071</v>
      </c>
      <c r="J6" s="45" t="str">
        <f t="shared" ref="J6" si="6">IF(AND(C6 &lt;&gt; "", D6 &lt;&gt; ""), (SUM(D6-C6)*1440), " - ")</f>
        <v xml:space="preserve"> - </v>
      </c>
      <c r="K6" s="45" t="str">
        <f t="shared" ref="K6" si="7">IF(AND((B6&lt;&gt;""), (C6&lt;&gt;""), (D6&lt;&gt;""), (E6&lt;&gt;"")), IF((((8-I6)*60)+1) &gt; 0, (((8-I6)*60)+1), (((8-I6)*60)-1)), "-")</f>
        <v>-</v>
      </c>
    </row>
    <row r="7" spans="1:11" ht="24" thickBot="1" x14ac:dyDescent="0.4">
      <c r="A7" s="17" t="s">
        <v>9</v>
      </c>
      <c r="B7" s="27">
        <v>0.28888888888888886</v>
      </c>
      <c r="C7" s="27">
        <v>0.48819444444444443</v>
      </c>
      <c r="D7" s="27">
        <v>0.52361111111111114</v>
      </c>
      <c r="E7" s="28">
        <v>0.66666666666666663</v>
      </c>
      <c r="F7" s="15">
        <v>0</v>
      </c>
      <c r="G7" s="14">
        <f t="shared" ref="G7" si="8">SUM(C7-B7)*24</f>
        <v>4.7833333333333332</v>
      </c>
      <c r="H7" s="15">
        <f t="shared" si="2"/>
        <v>3.4333333333333318</v>
      </c>
      <c r="I7" s="5">
        <f t="shared" si="0"/>
        <v>8.216666666666665</v>
      </c>
      <c r="J7" s="45">
        <f t="shared" si="3"/>
        <v>51.000000000000057</v>
      </c>
      <c r="K7" s="45">
        <f t="shared" si="1"/>
        <v>-13.999999999999901</v>
      </c>
    </row>
    <row r="8" spans="1:11" ht="36.75" thickBot="1" x14ac:dyDescent="0.6">
      <c r="B8" s="9"/>
      <c r="H8" s="2" t="s">
        <v>10</v>
      </c>
      <c r="I8" s="6">
        <f>SUM(I2:I7)</f>
        <v>41.083333333333343</v>
      </c>
    </row>
    <row r="9" spans="1:11" ht="24" thickBot="1" x14ac:dyDescent="0.4"/>
    <row r="10" spans="1:11" ht="24" thickBot="1" x14ac:dyDescent="0.4">
      <c r="H10" s="7" t="s">
        <v>11</v>
      </c>
      <c r="I10" s="8">
        <f>40-I8</f>
        <v>-1.0833333333333428</v>
      </c>
      <c r="J10" s="10"/>
    </row>
  </sheetData>
  <conditionalFormatting sqref="I2:I7">
    <cfRule type="cellIs" dxfId="55" priority="1" operator="greaterThan">
      <formula>7.99999999</formula>
    </cfRule>
    <cfRule type="cellIs" dxfId="54" priority="2" operator="lessThan">
      <formula>8</formula>
    </cfRule>
  </conditionalFormatting>
  <conditionalFormatting sqref="I8">
    <cfRule type="cellIs" dxfId="53" priority="3" operator="lessThan">
      <formula>40</formula>
    </cfRule>
    <cfRule type="cellIs" dxfId="52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1A6C-C594-4D06-A50A-7B5F46D8D473}">
  <sheetPr codeName="Sheet21"/>
  <dimension ref="A1:J9"/>
  <sheetViews>
    <sheetView zoomScale="85" zoomScaleNormal="85" workbookViewId="0">
      <selection activeCell="B5" sqref="B5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</cols>
  <sheetData>
    <row r="1" spans="1:10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</row>
    <row r="2" spans="1:10" x14ac:dyDescent="0.35">
      <c r="A2" s="26" t="s">
        <v>5</v>
      </c>
      <c r="B2" s="27">
        <v>0.28819444444444442</v>
      </c>
      <c r="C2" s="27">
        <v>0.4826388888888889</v>
      </c>
      <c r="D2" s="27">
        <v>0.51527777777777772</v>
      </c>
      <c r="E2" s="28">
        <v>0.66666666666666663</v>
      </c>
      <c r="F2" s="14"/>
      <c r="G2" s="14">
        <f>SUM(C2-B2)*24</f>
        <v>4.6666666666666679</v>
      </c>
      <c r="H2" s="15">
        <f>SUM(E2-D2)*24</f>
        <v>3.6333333333333337</v>
      </c>
      <c r="I2" s="5">
        <f t="shared" ref="I2:I6" si="0">G2+H2+F2</f>
        <v>8.3000000000000007</v>
      </c>
      <c r="J2" s="45">
        <f>IF(AND(C2 &lt;&gt; "", D2 &lt;&gt; ""), (SUM(D2-C2)*1440), " - ")</f>
        <v>46.999999999999915</v>
      </c>
    </row>
    <row r="3" spans="1:10" x14ac:dyDescent="0.35">
      <c r="A3" s="26" t="s">
        <v>6</v>
      </c>
      <c r="B3" s="27">
        <v>0.28819444444444442</v>
      </c>
      <c r="C3" s="27">
        <v>0.48194444444444445</v>
      </c>
      <c r="D3" s="27">
        <v>0.51249999999999996</v>
      </c>
      <c r="E3" s="28">
        <v>0.66666666666666663</v>
      </c>
      <c r="F3" s="15">
        <v>0</v>
      </c>
      <c r="G3" s="14">
        <f>SUM(C3-B3)*24</f>
        <v>4.6500000000000004</v>
      </c>
      <c r="H3" s="15">
        <f>SUM(E3-D3)*24</f>
        <v>3.7</v>
      </c>
      <c r="I3" s="5">
        <f t="shared" si="0"/>
        <v>8.3500000000000014</v>
      </c>
      <c r="J3" s="45">
        <f>IF(AND(C3 &lt;&gt; "", D3 &lt;&gt; ""), (SUM(D3-C3)*1440), " - ")</f>
        <v>43.999999999999922</v>
      </c>
    </row>
    <row r="4" spans="1:10" x14ac:dyDescent="0.35">
      <c r="A4" s="26" t="s">
        <v>7</v>
      </c>
      <c r="B4" s="49"/>
      <c r="C4" s="49"/>
      <c r="D4" s="49"/>
      <c r="E4" s="50"/>
      <c r="F4" s="30">
        <v>8</v>
      </c>
      <c r="G4" s="29">
        <f>SUM(C4-B4)*24</f>
        <v>0</v>
      </c>
      <c r="H4" s="30">
        <f>SUM(E4-D4)*24</f>
        <v>0</v>
      </c>
      <c r="I4" s="31">
        <f t="shared" si="0"/>
        <v>8</v>
      </c>
      <c r="J4" s="45" t="str">
        <f>IF(AND(C4 &lt;&gt; "", D4 &lt;&gt; ""), (SUM(D4-C4)*1440), " - ")</f>
        <v xml:space="preserve"> - </v>
      </c>
    </row>
    <row r="5" spans="1:10" x14ac:dyDescent="0.35">
      <c r="A5" s="26" t="s">
        <v>8</v>
      </c>
      <c r="B5" s="27">
        <v>0.28819444444444442</v>
      </c>
      <c r="C5" s="27">
        <v>0.48472222222222222</v>
      </c>
      <c r="D5" s="27">
        <v>0.51458333333333328</v>
      </c>
      <c r="E5" s="28">
        <v>0.66736111111111107</v>
      </c>
      <c r="F5" s="30">
        <v>0</v>
      </c>
      <c r="G5" s="29">
        <f>SUM(C5-B5)*24</f>
        <v>4.7166666666666668</v>
      </c>
      <c r="H5" s="30">
        <f t="shared" ref="H5:H6" si="1">SUM(E5-D5)*24</f>
        <v>3.666666666666667</v>
      </c>
      <c r="I5" s="31">
        <f t="shared" si="0"/>
        <v>8.3833333333333329</v>
      </c>
      <c r="J5" s="45">
        <f t="shared" ref="J5:J6" si="2">IF(AND(C5 &lt;&gt; "", D5 &lt;&gt; ""), (SUM(D5-C5)*1440), " - ")</f>
        <v>42.999999999999929</v>
      </c>
    </row>
    <row r="6" spans="1:10" ht="24" thickBot="1" x14ac:dyDescent="0.4">
      <c r="A6" s="17" t="s">
        <v>9</v>
      </c>
      <c r="B6" s="27">
        <v>0.28819444444444442</v>
      </c>
      <c r="C6" s="27">
        <v>0.5229166666666667</v>
      </c>
      <c r="D6" s="27">
        <v>0.55000000000000004</v>
      </c>
      <c r="E6" s="28">
        <v>0.66666666666666663</v>
      </c>
      <c r="F6" s="15">
        <v>0</v>
      </c>
      <c r="G6" s="14">
        <f t="shared" ref="G6" si="3">SUM(C6-B6)*24</f>
        <v>5.6333333333333346</v>
      </c>
      <c r="H6" s="15">
        <f t="shared" si="1"/>
        <v>2.799999999999998</v>
      </c>
      <c r="I6" s="5">
        <f t="shared" si="0"/>
        <v>8.4333333333333336</v>
      </c>
      <c r="J6" s="45">
        <f t="shared" si="2"/>
        <v>39.000000000000021</v>
      </c>
    </row>
    <row r="7" spans="1:10" ht="36.75" thickBot="1" x14ac:dyDescent="0.6">
      <c r="B7" s="9"/>
      <c r="H7" s="2" t="s">
        <v>10</v>
      </c>
      <c r="I7" s="6">
        <f>SUM(I2:I6)</f>
        <v>41.466666666666669</v>
      </c>
    </row>
    <row r="8" spans="1:10" ht="24" thickBot="1" x14ac:dyDescent="0.4"/>
    <row r="9" spans="1:10" ht="24" thickBot="1" x14ac:dyDescent="0.4">
      <c r="H9" s="7" t="s">
        <v>11</v>
      </c>
      <c r="I9" s="8">
        <f>40-I7</f>
        <v>-1.4666666666666686</v>
      </c>
      <c r="J9" s="10"/>
    </row>
  </sheetData>
  <conditionalFormatting sqref="I2:I6">
    <cfRule type="cellIs" dxfId="51" priority="1" operator="greaterThan">
      <formula>7.99999999</formula>
    </cfRule>
    <cfRule type="cellIs" dxfId="50" priority="2" operator="lessThan">
      <formula>8</formula>
    </cfRule>
  </conditionalFormatting>
  <conditionalFormatting sqref="I7">
    <cfRule type="cellIs" dxfId="49" priority="3" operator="lessThan">
      <formula>40</formula>
    </cfRule>
    <cfRule type="cellIs" dxfId="48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8DDF-67CD-433D-9CE3-0D92B846EB95}">
  <sheetPr codeName="Sheet22"/>
  <dimension ref="A1:J10"/>
  <sheetViews>
    <sheetView zoomScale="85" zoomScaleNormal="85" workbookViewId="0">
      <selection activeCell="B5" sqref="B5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</cols>
  <sheetData>
    <row r="1" spans="1:10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</row>
    <row r="2" spans="1:10" x14ac:dyDescent="0.35">
      <c r="A2" s="26" t="s">
        <v>5</v>
      </c>
      <c r="B2" s="27">
        <v>0.28819444444444442</v>
      </c>
      <c r="C2" s="27">
        <v>0.47986111111111113</v>
      </c>
      <c r="D2" s="27">
        <v>0.50972222222222219</v>
      </c>
      <c r="E2" s="28">
        <v>0.66666666666666663</v>
      </c>
      <c r="F2" s="14"/>
      <c r="G2" s="14">
        <f>SUM(C2-B2)*24</f>
        <v>4.6000000000000014</v>
      </c>
      <c r="H2" s="15">
        <f>SUM(E2-D2)*24</f>
        <v>3.7666666666666666</v>
      </c>
      <c r="I2" s="5">
        <f t="shared" ref="I2:I7" si="0">G2+H2+F2</f>
        <v>8.3666666666666671</v>
      </c>
      <c r="J2" s="45">
        <f>IF(AND(C2 &lt;&gt; "", D2 &lt;&gt; ""), (SUM(D2-C2)*1440), " - ")</f>
        <v>42.999999999999929</v>
      </c>
    </row>
    <row r="3" spans="1:10" x14ac:dyDescent="0.35">
      <c r="A3" s="26" t="s">
        <v>6</v>
      </c>
      <c r="B3" s="27">
        <v>0.28819444444444442</v>
      </c>
      <c r="C3" s="27">
        <v>0.48680555555555555</v>
      </c>
      <c r="D3" s="27">
        <v>0.51597222222222228</v>
      </c>
      <c r="E3" s="28">
        <v>0.66874999999999996</v>
      </c>
      <c r="F3" s="15">
        <v>0</v>
      </c>
      <c r="G3" s="14">
        <f>SUM(C3-B3)*24</f>
        <v>4.7666666666666675</v>
      </c>
      <c r="H3" s="15">
        <f>SUM(E3-D3)*24</f>
        <v>3.6666666666666643</v>
      </c>
      <c r="I3" s="5">
        <f t="shared" si="0"/>
        <v>8.4333333333333318</v>
      </c>
      <c r="J3" s="45">
        <f>IF(AND(C3 &lt;&gt; "", D3 &lt;&gt; ""), (SUM(D3-C3)*1440), " - ")</f>
        <v>42.000000000000092</v>
      </c>
    </row>
    <row r="4" spans="1:10" x14ac:dyDescent="0.35">
      <c r="A4" s="26" t="s">
        <v>7</v>
      </c>
      <c r="B4" s="27">
        <v>0.27638888888888891</v>
      </c>
      <c r="C4" s="27">
        <v>0.50416666666666665</v>
      </c>
      <c r="D4" s="27">
        <v>0.54374999999999996</v>
      </c>
      <c r="E4" s="28">
        <v>0.64861111111111114</v>
      </c>
      <c r="F4" s="30">
        <v>0</v>
      </c>
      <c r="G4" s="29">
        <f>SUM(C4-B4)*24</f>
        <v>5.4666666666666659</v>
      </c>
      <c r="H4" s="30">
        <f>SUM(E4-D4)*24</f>
        <v>2.5166666666666684</v>
      </c>
      <c r="I4" s="31">
        <f>G4+H4+F4+I5</f>
        <v>8.1500000000000021</v>
      </c>
      <c r="J4" s="45">
        <f>IF(AND(C4 &lt;&gt; "", D4 &lt;&gt; ""), (SUM(D4-C4)*1440), " - ")</f>
        <v>56.999999999999957</v>
      </c>
    </row>
    <row r="5" spans="1:10" x14ac:dyDescent="0.35">
      <c r="A5" s="26"/>
      <c r="B5" s="27"/>
      <c r="C5" s="27"/>
      <c r="D5" s="27">
        <v>0.92152777777777772</v>
      </c>
      <c r="E5" s="28">
        <v>0.92847222222222225</v>
      </c>
      <c r="F5" s="30">
        <v>0</v>
      </c>
      <c r="G5" s="29">
        <f>SUM(C5-B5)*24</f>
        <v>0</v>
      </c>
      <c r="H5" s="30">
        <f>SUM(E5-D5)*24</f>
        <v>0.16666666666666874</v>
      </c>
      <c r="I5" s="31">
        <f t="shared" si="0"/>
        <v>0.16666666666666874</v>
      </c>
      <c r="J5" s="45"/>
    </row>
    <row r="6" spans="1:10" x14ac:dyDescent="0.35">
      <c r="A6" s="26" t="s">
        <v>8</v>
      </c>
      <c r="B6" s="27">
        <v>0.28819444444444442</v>
      </c>
      <c r="C6" s="27">
        <v>0.48055555555555557</v>
      </c>
      <c r="D6" s="27">
        <v>0.51041666666666663</v>
      </c>
      <c r="E6" s="28">
        <v>0.66666666666666663</v>
      </c>
      <c r="F6" s="30">
        <v>0</v>
      </c>
      <c r="G6" s="29">
        <f>SUM(C6-B6)*24</f>
        <v>4.6166666666666671</v>
      </c>
      <c r="H6" s="30">
        <f t="shared" ref="H6:H7" si="1">SUM(E6-D6)*24</f>
        <v>3.75</v>
      </c>
      <c r="I6" s="31">
        <f t="shared" si="0"/>
        <v>8.3666666666666671</v>
      </c>
      <c r="J6" s="45">
        <f t="shared" ref="J6:J7" si="2">IF(AND(C6 &lt;&gt; "", D6 &lt;&gt; ""), (SUM(D6-C6)*1440), " - ")</f>
        <v>42.999999999999929</v>
      </c>
    </row>
    <row r="7" spans="1:10" ht="24" thickBot="1" x14ac:dyDescent="0.4">
      <c r="A7" s="17" t="s">
        <v>9</v>
      </c>
      <c r="B7" s="27">
        <v>0.28819444444444442</v>
      </c>
      <c r="C7" s="27">
        <v>0.48680555555555555</v>
      </c>
      <c r="D7" s="27">
        <v>0.51527777777777772</v>
      </c>
      <c r="E7" s="28">
        <v>0.67361111111111116</v>
      </c>
      <c r="F7" s="15">
        <v>0</v>
      </c>
      <c r="G7" s="14">
        <f t="shared" ref="G7" si="3">SUM(C7-B7)*24</f>
        <v>4.7666666666666675</v>
      </c>
      <c r="H7" s="15">
        <f t="shared" si="1"/>
        <v>3.8000000000000025</v>
      </c>
      <c r="I7" s="5">
        <f t="shared" si="0"/>
        <v>8.56666666666667</v>
      </c>
      <c r="J7" s="45">
        <f t="shared" si="2"/>
        <v>40.999999999999936</v>
      </c>
    </row>
    <row r="8" spans="1:10" ht="36.75" thickBot="1" x14ac:dyDescent="0.6">
      <c r="B8" s="9"/>
      <c r="H8" s="2" t="s">
        <v>10</v>
      </c>
      <c r="I8" s="6">
        <f>SUM(I2:I7)</f>
        <v>42.050000000000004</v>
      </c>
    </row>
    <row r="9" spans="1:10" ht="24" thickBot="1" x14ac:dyDescent="0.4"/>
    <row r="10" spans="1:10" ht="24" thickBot="1" x14ac:dyDescent="0.4">
      <c r="H10" s="7" t="s">
        <v>11</v>
      </c>
      <c r="I10" s="8">
        <f>40-I8</f>
        <v>-2.0500000000000043</v>
      </c>
      <c r="J10" s="10"/>
    </row>
  </sheetData>
  <conditionalFormatting sqref="I2:I7">
    <cfRule type="cellIs" dxfId="47" priority="1" operator="greaterThan">
      <formula>7.99999999</formula>
    </cfRule>
    <cfRule type="cellIs" dxfId="46" priority="2" operator="lessThan">
      <formula>8</formula>
    </cfRule>
  </conditionalFormatting>
  <conditionalFormatting sqref="I8">
    <cfRule type="cellIs" dxfId="45" priority="3" operator="lessThan">
      <formula>40</formula>
    </cfRule>
    <cfRule type="cellIs" dxfId="44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0F56-BEF1-48EE-B09F-DB2895BF8DEB}">
  <sheetPr codeName="Sheet5"/>
  <dimension ref="A1:J9"/>
  <sheetViews>
    <sheetView zoomScale="85" zoomScaleNormal="85" workbookViewId="0">
      <selection activeCell="B5" sqref="B5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</cols>
  <sheetData>
    <row r="1" spans="1:10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</row>
    <row r="2" spans="1:10" x14ac:dyDescent="0.35">
      <c r="A2" s="26" t="s">
        <v>5</v>
      </c>
      <c r="B2" s="27">
        <v>0.28749999999999998</v>
      </c>
      <c r="C2" s="27">
        <v>0.47986111111111113</v>
      </c>
      <c r="D2" s="27">
        <v>0.51041666666666663</v>
      </c>
      <c r="E2" s="28">
        <v>0.66666666666666663</v>
      </c>
      <c r="F2" s="14"/>
      <c r="G2" s="14">
        <f>SUM(C2-B2)*24</f>
        <v>4.6166666666666671</v>
      </c>
      <c r="H2" s="15">
        <f>SUM(E2-D2)*24</f>
        <v>3.75</v>
      </c>
      <c r="I2" s="5">
        <f t="shared" ref="I2:I6" si="0">G2+H2+F2</f>
        <v>8.3666666666666671</v>
      </c>
      <c r="J2" s="45">
        <f>IF(AND(C2 &lt;&gt; "", D2 &lt;&gt; ""), (SUM(D2-C2)*1440), " - ")</f>
        <v>43.999999999999922</v>
      </c>
    </row>
    <row r="3" spans="1:10" x14ac:dyDescent="0.35">
      <c r="A3" s="26" t="s">
        <v>6</v>
      </c>
      <c r="B3" s="27">
        <v>0.28819444444444442</v>
      </c>
      <c r="C3" s="27">
        <v>0.5083333333333333</v>
      </c>
      <c r="D3" s="27">
        <v>0.53472222222222221</v>
      </c>
      <c r="E3" s="28">
        <v>0.66666666666666663</v>
      </c>
      <c r="F3" s="15">
        <v>0</v>
      </c>
      <c r="G3" s="14">
        <f>SUM(C3-B3)*24</f>
        <v>5.2833333333333332</v>
      </c>
      <c r="H3" s="15">
        <f>SUM(E3-D3)*24</f>
        <v>3.1666666666666661</v>
      </c>
      <c r="I3" s="5">
        <f t="shared" si="0"/>
        <v>8.4499999999999993</v>
      </c>
      <c r="J3" s="45">
        <f>IF(AND(C3 &lt;&gt; "", D3 &lt;&gt; ""), (SUM(D3-C3)*1440), " - ")</f>
        <v>38.000000000000028</v>
      </c>
    </row>
    <row r="4" spans="1:10" x14ac:dyDescent="0.35">
      <c r="A4" s="26" t="s">
        <v>7</v>
      </c>
      <c r="B4" s="27">
        <v>0.28819444444444442</v>
      </c>
      <c r="C4" s="27">
        <v>0.48055555555555557</v>
      </c>
      <c r="D4" s="27">
        <v>0.50763888888888886</v>
      </c>
      <c r="E4" s="28">
        <v>0.66666666666666663</v>
      </c>
      <c r="F4" s="30">
        <v>0</v>
      </c>
      <c r="G4" s="29">
        <f>SUM(C4-B4)*24</f>
        <v>4.6166666666666671</v>
      </c>
      <c r="H4" s="30">
        <f>SUM(E4-D4)*24</f>
        <v>3.8166666666666664</v>
      </c>
      <c r="I4" s="31">
        <f t="shared" si="0"/>
        <v>8.4333333333333336</v>
      </c>
      <c r="J4" s="45">
        <f>IF(AND(C4 &lt;&gt; "", D4 &lt;&gt; ""), (SUM(D4-C4)*1440), " - ")</f>
        <v>38.999999999999943</v>
      </c>
    </row>
    <row r="5" spans="1:10" x14ac:dyDescent="0.35">
      <c r="A5" s="26" t="s">
        <v>8</v>
      </c>
      <c r="B5" s="27">
        <v>0.28819444444444442</v>
      </c>
      <c r="C5" s="27">
        <v>0.48194444444444445</v>
      </c>
      <c r="D5" s="27">
        <v>0.50694444444444442</v>
      </c>
      <c r="E5" s="28">
        <v>0.66666666666666663</v>
      </c>
      <c r="F5" s="30">
        <v>0</v>
      </c>
      <c r="G5" s="29">
        <f>SUM(C5-B5)*24</f>
        <v>4.6500000000000004</v>
      </c>
      <c r="H5" s="30">
        <f t="shared" ref="H5:H6" si="1">SUM(E5-D5)*24</f>
        <v>3.833333333333333</v>
      </c>
      <c r="I5" s="31">
        <f t="shared" si="0"/>
        <v>8.4833333333333343</v>
      </c>
      <c r="J5" s="45">
        <f t="shared" ref="J5:J6" si="2">IF(AND(C5 &lt;&gt; "", D5 &lt;&gt; ""), (SUM(D5-C5)*1440), " - ")</f>
        <v>35.99999999999995</v>
      </c>
    </row>
    <row r="6" spans="1:10" ht="24" thickBot="1" x14ac:dyDescent="0.4">
      <c r="A6" s="17" t="s">
        <v>9</v>
      </c>
      <c r="B6" s="27">
        <v>0.28819444444444442</v>
      </c>
      <c r="C6" s="27">
        <v>0.47916666666666669</v>
      </c>
      <c r="D6" s="27">
        <v>0.50486111111111109</v>
      </c>
      <c r="E6" s="28">
        <v>0.66666666666666663</v>
      </c>
      <c r="F6" s="15">
        <v>0</v>
      </c>
      <c r="G6" s="14">
        <f t="shared" ref="G6" si="3">SUM(C6-B6)*24</f>
        <v>4.5833333333333339</v>
      </c>
      <c r="H6" s="15">
        <f t="shared" si="1"/>
        <v>3.8833333333333329</v>
      </c>
      <c r="I6" s="5">
        <f t="shared" si="0"/>
        <v>8.4666666666666668</v>
      </c>
      <c r="J6" s="45">
        <f t="shared" si="2"/>
        <v>36.99999999999995</v>
      </c>
    </row>
    <row r="7" spans="1:10" ht="36.75" thickBot="1" x14ac:dyDescent="0.6">
      <c r="B7" s="9"/>
      <c r="H7" s="2" t="s">
        <v>10</v>
      </c>
      <c r="I7" s="6">
        <f>SUM(I2:I6)</f>
        <v>42.2</v>
      </c>
    </row>
    <row r="8" spans="1:10" ht="24" thickBot="1" x14ac:dyDescent="0.4"/>
    <row r="9" spans="1:10" ht="24" thickBot="1" x14ac:dyDescent="0.4">
      <c r="H9" s="7" t="s">
        <v>11</v>
      </c>
      <c r="I9" s="8">
        <f>40-I7</f>
        <v>-2.2000000000000028</v>
      </c>
      <c r="J9" s="10"/>
    </row>
  </sheetData>
  <conditionalFormatting sqref="I2:I6">
    <cfRule type="cellIs" dxfId="43" priority="1" operator="greaterThan">
      <formula>7.99999999</formula>
    </cfRule>
    <cfRule type="cellIs" dxfId="42" priority="2" operator="lessThan">
      <formula>8</formula>
    </cfRule>
  </conditionalFormatting>
  <conditionalFormatting sqref="I7">
    <cfRule type="cellIs" dxfId="41" priority="3" operator="lessThan">
      <formula>40</formula>
    </cfRule>
    <cfRule type="cellIs" dxfId="40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3594-2876-4EF7-8648-82D66FBDB64A}">
  <sheetPr codeName="Sheet6"/>
  <dimension ref="A1:J10"/>
  <sheetViews>
    <sheetView zoomScale="85" zoomScaleNormal="85" workbookViewId="0">
      <selection activeCell="B5" sqref="B5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</cols>
  <sheetData>
    <row r="1" spans="1:10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</row>
    <row r="2" spans="1:10" x14ac:dyDescent="0.35">
      <c r="A2" s="26" t="s">
        <v>5</v>
      </c>
      <c r="B2" s="27">
        <v>0.28819444444444442</v>
      </c>
      <c r="C2" s="27">
        <v>0.48055555555555557</v>
      </c>
      <c r="D2" s="27">
        <v>0.5131944444444444</v>
      </c>
      <c r="E2" s="28">
        <v>0.66666666666666663</v>
      </c>
      <c r="F2" s="14"/>
      <c r="G2" s="14">
        <f>SUM(C2-B2)*24</f>
        <v>4.6166666666666671</v>
      </c>
      <c r="H2" s="15">
        <f>SUM(E2-D2)*24</f>
        <v>3.6833333333333336</v>
      </c>
      <c r="I2" s="5">
        <f t="shared" ref="I2:I7" si="0">G2+H2+F2</f>
        <v>8.3000000000000007</v>
      </c>
      <c r="J2" s="45">
        <f>IF(AND(C2 &lt;&gt; "", D2 &lt;&gt; ""), (SUM(D2-C2)*1440), " - ")</f>
        <v>46.999999999999915</v>
      </c>
    </row>
    <row r="3" spans="1:10" x14ac:dyDescent="0.35">
      <c r="A3" s="26" t="s">
        <v>6</v>
      </c>
      <c r="B3" s="27">
        <v>0.28819444444444442</v>
      </c>
      <c r="C3" s="27">
        <v>0.46111111111111114</v>
      </c>
      <c r="D3" s="27">
        <v>0.50555555555555554</v>
      </c>
      <c r="E3" s="28">
        <v>0.63541666666666663</v>
      </c>
      <c r="F3" s="15">
        <v>0</v>
      </c>
      <c r="G3" s="14">
        <f>SUM(C3-B3)*24</f>
        <v>4.1500000000000012</v>
      </c>
      <c r="H3" s="15">
        <f>SUM(E3-D3)*24</f>
        <v>3.1166666666666663</v>
      </c>
      <c r="I3" s="5">
        <f t="shared" si="0"/>
        <v>7.2666666666666675</v>
      </c>
      <c r="J3" s="45">
        <f>IF(AND(C3 &lt;&gt; "", D3 &lt;&gt; ""), (SUM(D3-C3)*1440), " - ")</f>
        <v>63.999999999999929</v>
      </c>
    </row>
    <row r="4" spans="1:10" x14ac:dyDescent="0.35">
      <c r="A4" s="26"/>
      <c r="B4" s="27"/>
      <c r="C4" s="27"/>
      <c r="D4" s="27">
        <v>0.71597222222222223</v>
      </c>
      <c r="E4" s="28">
        <v>0.74652777777777779</v>
      </c>
      <c r="F4" s="15">
        <v>0</v>
      </c>
      <c r="G4" s="14">
        <f>SUM(C4-B4)*24</f>
        <v>0</v>
      </c>
      <c r="H4" s="15">
        <f>SUM(E4-D4)*24</f>
        <v>0.73333333333333339</v>
      </c>
      <c r="I4" s="5">
        <f t="shared" si="0"/>
        <v>0.73333333333333339</v>
      </c>
      <c r="J4" s="45"/>
    </row>
    <row r="5" spans="1:10" x14ac:dyDescent="0.35">
      <c r="A5" s="26" t="s">
        <v>7</v>
      </c>
      <c r="B5" s="27">
        <v>0.28819444444444442</v>
      </c>
      <c r="C5" s="27">
        <v>0.49375000000000002</v>
      </c>
      <c r="D5" s="27">
        <v>0.52152777777777781</v>
      </c>
      <c r="E5" s="28">
        <v>0.66666666666666663</v>
      </c>
      <c r="F5" s="30">
        <v>0</v>
      </c>
      <c r="G5" s="29">
        <f>SUM(C5-B5)*24</f>
        <v>4.9333333333333345</v>
      </c>
      <c r="H5" s="30">
        <f>SUM(E5-D5)*24</f>
        <v>3.4833333333333316</v>
      </c>
      <c r="I5" s="31">
        <f t="shared" si="0"/>
        <v>8.4166666666666661</v>
      </c>
      <c r="J5" s="45">
        <f>IF(AND(C5 &lt;&gt; "", D5 &lt;&gt; ""), (SUM(D5-C5)*1440), " - ")</f>
        <v>40.000000000000014</v>
      </c>
    </row>
    <row r="6" spans="1:10" x14ac:dyDescent="0.35">
      <c r="A6" s="26" t="s">
        <v>8</v>
      </c>
      <c r="B6" s="27">
        <v>0.28819444444444442</v>
      </c>
      <c r="C6" s="27">
        <v>0.49375000000000002</v>
      </c>
      <c r="D6" s="27">
        <v>0.52152777777777781</v>
      </c>
      <c r="E6" s="28">
        <v>0.66666666666666663</v>
      </c>
      <c r="F6" s="30">
        <v>0</v>
      </c>
      <c r="G6" s="29">
        <f>SUM(C6-B6)*24</f>
        <v>4.9333333333333345</v>
      </c>
      <c r="H6" s="30">
        <f t="shared" ref="H6:H7" si="1">SUM(E6-D6)*24</f>
        <v>3.4833333333333316</v>
      </c>
      <c r="I6" s="31">
        <f t="shared" si="0"/>
        <v>8.4166666666666661</v>
      </c>
      <c r="J6" s="45">
        <f t="shared" ref="J6:J7" si="2">IF(AND(C6 &lt;&gt; "", D6 &lt;&gt; ""), (SUM(D6-C6)*1440), " - ")</f>
        <v>40.000000000000014</v>
      </c>
    </row>
    <row r="7" spans="1:10" ht="24" thickBot="1" x14ac:dyDescent="0.4">
      <c r="A7" s="17" t="s">
        <v>9</v>
      </c>
      <c r="B7" s="27">
        <v>0.28819444444444442</v>
      </c>
      <c r="C7" s="27">
        <v>0.48055555555555557</v>
      </c>
      <c r="D7" s="27">
        <v>0.50694444444444442</v>
      </c>
      <c r="E7" s="28">
        <v>0.67013888888888884</v>
      </c>
      <c r="F7" s="15">
        <v>0</v>
      </c>
      <c r="G7" s="14">
        <f t="shared" ref="G7" si="3">SUM(C7-B7)*24</f>
        <v>4.6166666666666671</v>
      </c>
      <c r="H7" s="15">
        <f t="shared" si="1"/>
        <v>3.9166666666666661</v>
      </c>
      <c r="I7" s="5">
        <f t="shared" si="0"/>
        <v>8.5333333333333332</v>
      </c>
      <c r="J7" s="45">
        <f t="shared" si="2"/>
        <v>37.999999999999943</v>
      </c>
    </row>
    <row r="8" spans="1:10" ht="36.75" thickBot="1" x14ac:dyDescent="0.6">
      <c r="B8" s="9"/>
      <c r="H8" s="2" t="s">
        <v>10</v>
      </c>
      <c r="I8" s="6">
        <f>SUM(I2:I7)</f>
        <v>41.666666666666664</v>
      </c>
    </row>
    <row r="9" spans="1:10" ht="24" thickBot="1" x14ac:dyDescent="0.4"/>
    <row r="10" spans="1:10" ht="24" thickBot="1" x14ac:dyDescent="0.4">
      <c r="H10" s="7" t="s">
        <v>11</v>
      </c>
      <c r="I10" s="8">
        <f>40-I8</f>
        <v>-1.6666666666666643</v>
      </c>
      <c r="J10" s="10"/>
    </row>
  </sheetData>
  <conditionalFormatting sqref="I2:I7">
    <cfRule type="cellIs" dxfId="39" priority="1" operator="greaterThan">
      <formula>7.99999999</formula>
    </cfRule>
    <cfRule type="cellIs" dxfId="38" priority="2" operator="lessThan">
      <formula>8</formula>
    </cfRule>
  </conditionalFormatting>
  <conditionalFormatting sqref="I8">
    <cfRule type="cellIs" dxfId="37" priority="3" operator="lessThan">
      <formula>40</formula>
    </cfRule>
    <cfRule type="cellIs" dxfId="36" priority="4" operator="greaterThan">
      <formula>39.999999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081" r:id="rId4" name="Button 1">
              <controlPr defaultSize="0" print="0" autoFill="0" autoPict="0" macro="[0]!btnReCalculateHours">
                <anchor moveWithCells="1" sizeWithCells="1">
                  <from>
                    <xdr:col>10</xdr:col>
                    <xdr:colOff>323850</xdr:colOff>
                    <xdr:row>0</xdr:row>
                    <xdr:rowOff>238125</xdr:rowOff>
                  </from>
                  <to>
                    <xdr:col>12</xdr:col>
                    <xdr:colOff>409575</xdr:colOff>
                    <xdr:row>0</xdr:row>
                    <xdr:rowOff>533400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22FB-582E-4F9D-8612-D02F15BF2814}">
  <sheetPr codeName="Sheet7"/>
  <dimension ref="A1:J9"/>
  <sheetViews>
    <sheetView zoomScale="85" zoomScaleNormal="85" workbookViewId="0">
      <selection activeCell="B5" sqref="B5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</cols>
  <sheetData>
    <row r="1" spans="1:10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16</v>
      </c>
      <c r="G1" s="12" t="s">
        <v>2</v>
      </c>
      <c r="H1" s="13" t="s">
        <v>3</v>
      </c>
      <c r="I1" s="13" t="s">
        <v>4</v>
      </c>
      <c r="J1" s="46" t="s">
        <v>12</v>
      </c>
    </row>
    <row r="2" spans="1:10" x14ac:dyDescent="0.35">
      <c r="A2" s="26" t="s">
        <v>5</v>
      </c>
      <c r="B2" s="47"/>
      <c r="C2" s="47"/>
      <c r="D2" s="47"/>
      <c r="E2" s="48"/>
      <c r="F2" s="14">
        <v>8</v>
      </c>
      <c r="G2" s="14">
        <f>SUM(C2-B2)*24</f>
        <v>0</v>
      </c>
      <c r="H2" s="15">
        <f>SUM(E2-D2)*24</f>
        <v>0</v>
      </c>
      <c r="I2" s="5">
        <f>G2+H2+F2</f>
        <v>8</v>
      </c>
      <c r="J2" s="45" t="str">
        <f>IF(AND(C2 &lt;&gt; "", D2 &lt;&gt; ""), (SUM(D2-C2)*1440), " - ")</f>
        <v xml:space="preserve"> - </v>
      </c>
    </row>
    <row r="3" spans="1:10" x14ac:dyDescent="0.35">
      <c r="A3" s="26" t="s">
        <v>6</v>
      </c>
      <c r="B3" s="27">
        <v>0.28819444444444442</v>
      </c>
      <c r="C3" s="27">
        <v>0.48541666666666666</v>
      </c>
      <c r="D3" s="27">
        <v>0.51875000000000004</v>
      </c>
      <c r="E3" s="28">
        <v>0.66666666666666663</v>
      </c>
      <c r="F3" s="15">
        <v>0</v>
      </c>
      <c r="G3" s="14">
        <f>SUM(C3-B3)*24</f>
        <v>4.7333333333333343</v>
      </c>
      <c r="H3" s="15">
        <f>SUM(E3-D3)*24</f>
        <v>3.549999999999998</v>
      </c>
      <c r="I3" s="5">
        <f>G3+H3+F3</f>
        <v>8.2833333333333314</v>
      </c>
      <c r="J3" s="45">
        <f>IF(AND(C3 &lt;&gt; "", D3 &lt;&gt; ""), (SUM(D3-C3)*1440), " - ")</f>
        <v>48.000000000000071</v>
      </c>
    </row>
    <row r="4" spans="1:10" x14ac:dyDescent="0.35">
      <c r="A4" s="26" t="s">
        <v>7</v>
      </c>
      <c r="B4" s="27">
        <v>0.28819444444444442</v>
      </c>
      <c r="C4" s="27">
        <v>0.48819444444444443</v>
      </c>
      <c r="D4" s="27">
        <v>0.51944444444444449</v>
      </c>
      <c r="E4" s="28">
        <v>0.66666666666666663</v>
      </c>
      <c r="F4" s="30">
        <v>0</v>
      </c>
      <c r="G4" s="29">
        <f>SUM(C4-B4)*24</f>
        <v>4.8000000000000007</v>
      </c>
      <c r="H4" s="30">
        <f>SUM(E4-D4)*24</f>
        <v>3.5333333333333314</v>
      </c>
      <c r="I4" s="31">
        <f>G4+H4+F4</f>
        <v>8.3333333333333321</v>
      </c>
      <c r="J4" s="45">
        <f>IF(AND(C4 &lt;&gt; "", D4 &lt;&gt; ""), (SUM(D4-C4)*1440), " - ")</f>
        <v>45.000000000000078</v>
      </c>
    </row>
    <row r="5" spans="1:10" x14ac:dyDescent="0.35">
      <c r="A5" s="26" t="s">
        <v>8</v>
      </c>
      <c r="B5" s="27">
        <v>0.28819444444444442</v>
      </c>
      <c r="C5" s="27">
        <v>0.48541666666666666</v>
      </c>
      <c r="D5" s="27">
        <v>0.51944444444444449</v>
      </c>
      <c r="E5" s="28">
        <v>0.66666666666666663</v>
      </c>
      <c r="F5" s="30">
        <v>0</v>
      </c>
      <c r="G5" s="29">
        <f>SUM(C5-B5)*24</f>
        <v>4.7333333333333343</v>
      </c>
      <c r="H5" s="30">
        <f t="shared" ref="H5:H6" si="0">SUM(E5-D5)*24</f>
        <v>3.5333333333333314</v>
      </c>
      <c r="I5" s="31">
        <f>G5+H5+F5</f>
        <v>8.2666666666666657</v>
      </c>
      <c r="J5" s="45">
        <f t="shared" ref="J5:J6" si="1">IF(AND(C5 &lt;&gt; "", D5 &lt;&gt; ""), (SUM(D5-C5)*1440), " - ")</f>
        <v>49.000000000000064</v>
      </c>
    </row>
    <row r="6" spans="1:10" ht="24" thickBot="1" x14ac:dyDescent="0.4">
      <c r="A6" s="17" t="s">
        <v>9</v>
      </c>
      <c r="B6" s="27">
        <v>0.28819444444444442</v>
      </c>
      <c r="C6" s="27">
        <v>0.48055555555555557</v>
      </c>
      <c r="D6" s="27">
        <v>0.51666666666666672</v>
      </c>
      <c r="E6" s="28">
        <v>0.66666666666666663</v>
      </c>
      <c r="F6" s="15">
        <v>0</v>
      </c>
      <c r="G6" s="14">
        <f t="shared" ref="G6" si="2">SUM(C6-B6)*24</f>
        <v>4.6166666666666671</v>
      </c>
      <c r="H6" s="15">
        <f t="shared" si="0"/>
        <v>3.5999999999999979</v>
      </c>
      <c r="I6" s="5">
        <f>G6+H6+F6</f>
        <v>8.216666666666665</v>
      </c>
      <c r="J6" s="45">
        <f t="shared" si="1"/>
        <v>52.000000000000057</v>
      </c>
    </row>
    <row r="7" spans="1:10" ht="36.75" thickBot="1" x14ac:dyDescent="0.6">
      <c r="B7" s="9"/>
      <c r="H7" s="2" t="s">
        <v>10</v>
      </c>
      <c r="I7" s="6">
        <f>SUM(I2:I6)</f>
        <v>41.099999999999994</v>
      </c>
    </row>
    <row r="8" spans="1:10" ht="24" thickBot="1" x14ac:dyDescent="0.4"/>
    <row r="9" spans="1:10" ht="24" thickBot="1" x14ac:dyDescent="0.4">
      <c r="H9" s="7" t="s">
        <v>11</v>
      </c>
      <c r="I9" s="8">
        <f>40-I7</f>
        <v>-1.0999999999999943</v>
      </c>
      <c r="J9" s="10"/>
    </row>
  </sheetData>
  <conditionalFormatting sqref="I2:I6">
    <cfRule type="cellIs" dxfId="35" priority="1" operator="greaterThan">
      <formula>7.99999999</formula>
    </cfRule>
    <cfRule type="cellIs" dxfId="34" priority="2" operator="lessThan">
      <formula>8</formula>
    </cfRule>
  </conditionalFormatting>
  <conditionalFormatting sqref="I7">
    <cfRule type="cellIs" dxfId="33" priority="3" operator="lessThan">
      <formula>40</formula>
    </cfRule>
    <cfRule type="cellIs" dxfId="32" priority="4" operator="greaterThan">
      <formula>39.999999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5" r:id="rId4" name="Button 1">
              <controlPr defaultSize="0" print="0" autoFill="0" autoPict="0" macro="[0]!btnReCalculateHours">
                <anchor moveWithCells="1" sizeWithCells="1">
                  <from>
                    <xdr:col>10</xdr:col>
                    <xdr:colOff>323850</xdr:colOff>
                    <xdr:row>0</xdr:row>
                    <xdr:rowOff>238125</xdr:rowOff>
                  </from>
                  <to>
                    <xdr:col>12</xdr:col>
                    <xdr:colOff>409575</xdr:colOff>
                    <xdr:row>0</xdr:row>
                    <xdr:rowOff>533400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5F58-1788-4595-88CA-509C09CABB62}">
  <sheetPr codeName="Sheet8"/>
  <dimension ref="A1:J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6" width="20.5703125" style="3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</cols>
  <sheetData>
    <row r="1" spans="1:10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46" t="s">
        <v>15</v>
      </c>
      <c r="G1" s="12" t="s">
        <v>2</v>
      </c>
      <c r="H1" s="13" t="s">
        <v>3</v>
      </c>
      <c r="I1" s="13" t="s">
        <v>4</v>
      </c>
      <c r="J1" s="46" t="s">
        <v>12</v>
      </c>
    </row>
    <row r="2" spans="1:10" x14ac:dyDescent="0.35">
      <c r="A2" s="26" t="s">
        <v>5</v>
      </c>
      <c r="B2" s="27">
        <v>0.28819444444444442</v>
      </c>
      <c r="C2" s="27">
        <v>0.48194444444444445</v>
      </c>
      <c r="D2" s="27">
        <v>0.50972222222222219</v>
      </c>
      <c r="E2" s="28">
        <v>0.62569444444444444</v>
      </c>
      <c r="F2" s="15">
        <v>1</v>
      </c>
      <c r="G2" s="14">
        <f>SUM(C2-B2)*24</f>
        <v>4.6500000000000004</v>
      </c>
      <c r="H2" s="15">
        <f>SUM(E2-D2)*24</f>
        <v>2.7833333333333341</v>
      </c>
      <c r="I2" s="5">
        <f>G2+H2+F2</f>
        <v>8.4333333333333336</v>
      </c>
      <c r="J2" s="45">
        <f>IF(AND(C2 &lt;&gt; "", D2 &lt;&gt; ""), (SUM(D2-C2)*1440), " - ")</f>
        <v>39.999999999999936</v>
      </c>
    </row>
    <row r="3" spans="1:10" x14ac:dyDescent="0.35">
      <c r="A3" s="26" t="s">
        <v>6</v>
      </c>
      <c r="B3" s="27">
        <v>0.28819444444444442</v>
      </c>
      <c r="C3" s="27">
        <v>0.50694444444444442</v>
      </c>
      <c r="D3" s="27">
        <v>0.53402777777777777</v>
      </c>
      <c r="E3" s="28">
        <v>0.66666666666666663</v>
      </c>
      <c r="F3" s="15">
        <v>0</v>
      </c>
      <c r="G3" s="14">
        <f>SUM(C3-B3)*24</f>
        <v>5.25</v>
      </c>
      <c r="H3" s="15">
        <f>SUM(E3-D3)*24</f>
        <v>3.1833333333333327</v>
      </c>
      <c r="I3" s="5">
        <f>G3+H3+F3</f>
        <v>8.4333333333333336</v>
      </c>
      <c r="J3" s="45">
        <f>IF(AND(C3 &lt;&gt; "", D3 &lt;&gt; ""), (SUM(D3-C3)*1440), " - ")</f>
        <v>39.000000000000021</v>
      </c>
    </row>
    <row r="4" spans="1:10" x14ac:dyDescent="0.35">
      <c r="A4" s="26" t="s">
        <v>7</v>
      </c>
      <c r="B4" s="27">
        <v>0.28819444444444442</v>
      </c>
      <c r="C4" s="27">
        <v>0.48680555555555555</v>
      </c>
      <c r="D4" s="27">
        <v>0.51458333333333328</v>
      </c>
      <c r="E4" s="28">
        <v>0.66666666666666663</v>
      </c>
      <c r="F4" s="30">
        <v>0</v>
      </c>
      <c r="G4" s="29">
        <f>SUM(C4-B4)*24</f>
        <v>4.7666666666666675</v>
      </c>
      <c r="H4" s="30">
        <f t="shared" ref="H4:H6" si="0">SUM(E4-D4)*24</f>
        <v>3.6500000000000004</v>
      </c>
      <c r="I4" s="31">
        <f>G4+H4+F4</f>
        <v>8.4166666666666679</v>
      </c>
      <c r="J4" s="45">
        <f t="shared" ref="J4:J6" si="1">IF(AND(C4 &lt;&gt; "", D4 &lt;&gt; ""), (SUM(D4-C4)*1440), " - ")</f>
        <v>39.999999999999936</v>
      </c>
    </row>
    <row r="5" spans="1:10" x14ac:dyDescent="0.35">
      <c r="A5" s="26" t="s">
        <v>8</v>
      </c>
      <c r="B5" s="27">
        <v>0.28958333333333336</v>
      </c>
      <c r="C5" s="27">
        <v>0.48055555555555557</v>
      </c>
      <c r="D5" s="27">
        <v>0.50902777777777775</v>
      </c>
      <c r="E5" s="28">
        <v>0.66666666666666663</v>
      </c>
      <c r="F5" s="30">
        <v>0</v>
      </c>
      <c r="G5" s="29">
        <f>SUM(C5-B5)*24</f>
        <v>4.583333333333333</v>
      </c>
      <c r="H5" s="30">
        <f t="shared" si="0"/>
        <v>3.7833333333333332</v>
      </c>
      <c r="I5" s="31">
        <f>G5+H5+F5</f>
        <v>8.3666666666666671</v>
      </c>
      <c r="J5" s="45">
        <f t="shared" si="1"/>
        <v>40.999999999999936</v>
      </c>
    </row>
    <row r="6" spans="1:10" ht="24" thickBot="1" x14ac:dyDescent="0.4">
      <c r="A6" s="17" t="s">
        <v>9</v>
      </c>
      <c r="B6" s="4">
        <v>0.28819444444444442</v>
      </c>
      <c r="C6" s="27">
        <v>0.45833333333333331</v>
      </c>
      <c r="D6" s="47">
        <v>0.5</v>
      </c>
      <c r="E6" s="48">
        <v>0.66666666666666663</v>
      </c>
      <c r="F6" s="14">
        <v>4</v>
      </c>
      <c r="G6" s="14">
        <f t="shared" ref="G6" si="2">SUM(C6-B6)*24</f>
        <v>4.0833333333333339</v>
      </c>
      <c r="H6" s="15">
        <f t="shared" si="0"/>
        <v>3.9999999999999991</v>
      </c>
      <c r="I6" s="5">
        <f>G6+H6+F6</f>
        <v>12.083333333333332</v>
      </c>
      <c r="J6" s="45">
        <f t="shared" si="1"/>
        <v>60.000000000000028</v>
      </c>
    </row>
    <row r="7" spans="1:10" ht="36.75" thickBot="1" x14ac:dyDescent="0.6">
      <c r="B7" s="9"/>
      <c r="H7" s="2" t="s">
        <v>10</v>
      </c>
      <c r="I7" s="6">
        <f>SUM(I2:I6)</f>
        <v>45.733333333333334</v>
      </c>
    </row>
    <row r="8" spans="1:10" ht="24" thickBot="1" x14ac:dyDescent="0.4"/>
    <row r="9" spans="1:10" ht="24" thickBot="1" x14ac:dyDescent="0.4">
      <c r="H9" s="7" t="s">
        <v>11</v>
      </c>
      <c r="I9" s="8">
        <f>40-I7</f>
        <v>-5.7333333333333343</v>
      </c>
      <c r="J9" s="10"/>
    </row>
  </sheetData>
  <conditionalFormatting sqref="I2:I6">
    <cfRule type="cellIs" dxfId="31" priority="1" operator="greaterThan">
      <formula>7.99999999</formula>
    </cfRule>
    <cfRule type="cellIs" dxfId="30" priority="2" operator="lessThan">
      <formula>8</formula>
    </cfRule>
  </conditionalFormatting>
  <conditionalFormatting sqref="I7">
    <cfRule type="cellIs" dxfId="29" priority="3" operator="lessThan">
      <formula>40</formula>
    </cfRule>
    <cfRule type="cellIs" dxfId="28" priority="4" operator="greaterThan">
      <formula>39.999999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Button 1">
              <controlPr defaultSize="0" print="0" autoFill="0" autoPict="0" macro="[0]!btnReCalculateHours">
                <anchor moveWithCells="1" sizeWithCells="1">
                  <from>
                    <xdr:col>10</xdr:col>
                    <xdr:colOff>323850</xdr:colOff>
                    <xdr:row>0</xdr:row>
                    <xdr:rowOff>238125</xdr:rowOff>
                  </from>
                  <to>
                    <xdr:col>12</xdr:col>
                    <xdr:colOff>409575</xdr:colOff>
                    <xdr:row>0</xdr:row>
                    <xdr:rowOff>533400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AA38-323E-4559-9F88-B6B8A6204D47}">
  <sheetPr codeName="Sheet9"/>
  <dimension ref="A1:I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3.28515625" style="3" customWidth="1"/>
    <col min="7" max="7" width="26" style="3" bestFit="1" customWidth="1"/>
    <col min="8" max="8" width="18.140625" style="3" bestFit="1" customWidth="1"/>
    <col min="9" max="9" width="11" bestFit="1" customWidth="1"/>
  </cols>
  <sheetData>
    <row r="1" spans="1:9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12" t="s">
        <v>2</v>
      </c>
      <c r="G1" s="13" t="s">
        <v>3</v>
      </c>
      <c r="H1" s="13" t="s">
        <v>4</v>
      </c>
      <c r="I1" s="46" t="s">
        <v>12</v>
      </c>
    </row>
    <row r="2" spans="1:9" x14ac:dyDescent="0.35">
      <c r="A2" s="26" t="s">
        <v>5</v>
      </c>
      <c r="B2" s="27">
        <v>0.28749999999999998</v>
      </c>
      <c r="C2" s="27">
        <v>0.49305555555555558</v>
      </c>
      <c r="D2" s="27">
        <v>0.51944444444444449</v>
      </c>
      <c r="E2" s="28">
        <v>0.66666666666666663</v>
      </c>
      <c r="F2" s="14">
        <f>SUM(C2-B2)*24</f>
        <v>4.9333333333333345</v>
      </c>
      <c r="G2" s="15">
        <f>SUM(E2-D2)*24</f>
        <v>3.5333333333333314</v>
      </c>
      <c r="H2" s="5">
        <f>F2+G2</f>
        <v>8.466666666666665</v>
      </c>
      <c r="I2" s="45">
        <f>IF(AND(C2 &lt;&gt; "", D2 &lt;&gt; ""), (SUM(D2-C2)*1440), " - ")</f>
        <v>38.000000000000028</v>
      </c>
    </row>
    <row r="3" spans="1:9" x14ac:dyDescent="0.35">
      <c r="A3" s="26" t="s">
        <v>6</v>
      </c>
      <c r="B3" s="27">
        <v>0.28819444444444442</v>
      </c>
      <c r="C3" s="27">
        <v>0.48055555555555557</v>
      </c>
      <c r="D3" s="27">
        <v>0.50763888888888886</v>
      </c>
      <c r="E3" s="28">
        <v>0.66736111111111107</v>
      </c>
      <c r="F3" s="14">
        <f>SUM(C3-B3)*24</f>
        <v>4.6166666666666671</v>
      </c>
      <c r="G3" s="15">
        <f>SUM(E3-D3)*24</f>
        <v>3.833333333333333</v>
      </c>
      <c r="H3" s="5">
        <f t="shared" ref="H3:H6" si="0">F3+G3</f>
        <v>8.4499999999999993</v>
      </c>
      <c r="I3" s="45">
        <f>IF(AND(C3 &lt;&gt; "", D3 &lt;&gt; ""), (SUM(D3-C3)*1440), " - ")</f>
        <v>38.999999999999943</v>
      </c>
    </row>
    <row r="4" spans="1:9" x14ac:dyDescent="0.35">
      <c r="A4" s="26" t="s">
        <v>7</v>
      </c>
      <c r="B4" s="47">
        <v>0.29166666666666669</v>
      </c>
      <c r="C4" s="47">
        <v>0.45833333333333331</v>
      </c>
      <c r="D4" s="27">
        <v>0.49652777777777779</v>
      </c>
      <c r="E4" s="28">
        <v>0.66874999999999996</v>
      </c>
      <c r="F4" s="29">
        <f>SUM(C4-B4)*24</f>
        <v>3.9999999999999991</v>
      </c>
      <c r="G4" s="30">
        <f t="shared" ref="G4:G6" si="1">SUM(E4-D4)*24</f>
        <v>4.133333333333332</v>
      </c>
      <c r="H4" s="31">
        <f t="shared" si="0"/>
        <v>8.1333333333333311</v>
      </c>
      <c r="I4" s="45">
        <f t="shared" ref="I4:I6" si="2">IF(AND(C4 &lt;&gt; "", D4 &lt;&gt; ""), (SUM(D4-C4)*1440), " - ")</f>
        <v>55.000000000000043</v>
      </c>
    </row>
    <row r="5" spans="1:9" x14ac:dyDescent="0.35">
      <c r="A5" s="26" t="s">
        <v>8</v>
      </c>
      <c r="B5" s="27">
        <v>0.28819444444444442</v>
      </c>
      <c r="C5" s="27">
        <v>0.48125000000000001</v>
      </c>
      <c r="D5" s="27">
        <v>0.51736111111111116</v>
      </c>
      <c r="E5" s="28">
        <v>0.66666666666666663</v>
      </c>
      <c r="F5" s="29">
        <f>SUM(C5-B5)*24</f>
        <v>4.6333333333333346</v>
      </c>
      <c r="G5" s="30">
        <f t="shared" si="1"/>
        <v>3.5833333333333313</v>
      </c>
      <c r="H5" s="31">
        <f t="shared" si="0"/>
        <v>8.216666666666665</v>
      </c>
      <c r="I5" s="45">
        <f t="shared" si="2"/>
        <v>52.000000000000057</v>
      </c>
    </row>
    <row r="6" spans="1:9" ht="24" thickBot="1" x14ac:dyDescent="0.4">
      <c r="A6" s="17" t="s">
        <v>9</v>
      </c>
      <c r="B6" s="4">
        <v>0.28819444444444442</v>
      </c>
      <c r="C6" s="27">
        <v>0.48125000000000001</v>
      </c>
      <c r="D6" s="27">
        <v>0.50902777777777775</v>
      </c>
      <c r="E6" s="28">
        <v>0.67222222222222228</v>
      </c>
      <c r="F6" s="14">
        <f t="shared" ref="F6" si="3">SUM(C6-B6)*24</f>
        <v>4.6333333333333346</v>
      </c>
      <c r="G6" s="15">
        <f t="shared" si="1"/>
        <v>3.9166666666666687</v>
      </c>
      <c r="H6" s="5">
        <f t="shared" si="0"/>
        <v>8.5500000000000043</v>
      </c>
      <c r="I6" s="45">
        <f t="shared" si="2"/>
        <v>39.999999999999936</v>
      </c>
    </row>
    <row r="7" spans="1:9" ht="36.75" thickBot="1" x14ac:dyDescent="0.6">
      <c r="B7" s="9"/>
      <c r="G7" s="2" t="s">
        <v>10</v>
      </c>
      <c r="H7" s="6">
        <f>SUM(H2:H6)</f>
        <v>41.81666666666667</v>
      </c>
    </row>
    <row r="8" spans="1:9" ht="24" thickBot="1" x14ac:dyDescent="0.4"/>
    <row r="9" spans="1:9" ht="24" thickBot="1" x14ac:dyDescent="0.4">
      <c r="G9" s="7" t="s">
        <v>11</v>
      </c>
      <c r="H9" s="8">
        <f>40-H7</f>
        <v>-1.81666666666667</v>
      </c>
      <c r="I9" s="10"/>
    </row>
  </sheetData>
  <conditionalFormatting sqref="H2:H6">
    <cfRule type="cellIs" dxfId="27" priority="1" operator="greaterThan">
      <formula>7.99999999</formula>
    </cfRule>
    <cfRule type="cellIs" dxfId="26" priority="2" operator="lessThan">
      <formula>8</formula>
    </cfRule>
  </conditionalFormatting>
  <conditionalFormatting sqref="H7">
    <cfRule type="cellIs" dxfId="25" priority="3" operator="lessThan">
      <formula>40</formula>
    </cfRule>
    <cfRule type="cellIs" dxfId="24" priority="4" operator="greaterThan">
      <formula>39.999999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Button 1">
              <controlPr defaultSize="0" print="0" autoFill="0" autoPict="0" macro="[0]!btnReCalculateHours">
                <anchor moveWithCells="1" sizeWithCells="1">
                  <from>
                    <xdr:col>9</xdr:col>
                    <xdr:colOff>323850</xdr:colOff>
                    <xdr:row>0</xdr:row>
                    <xdr:rowOff>238125</xdr:rowOff>
                  </from>
                  <to>
                    <xdr:col>11</xdr:col>
                    <xdr:colOff>409575</xdr:colOff>
                    <xdr:row>0</xdr:row>
                    <xdr:rowOff>533400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6BA7-115A-4E01-B0A8-B2D4CE7AD7A9}">
  <sheetPr codeName="Sheet10"/>
  <dimension ref="A1:I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3.28515625" style="3" customWidth="1"/>
    <col min="7" max="7" width="26" style="3" bestFit="1" customWidth="1"/>
    <col min="8" max="8" width="18.140625" style="3" bestFit="1" customWidth="1"/>
    <col min="9" max="9" width="11" bestFit="1" customWidth="1"/>
  </cols>
  <sheetData>
    <row r="1" spans="1:9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12" t="s">
        <v>2</v>
      </c>
      <c r="G1" s="13" t="s">
        <v>3</v>
      </c>
      <c r="H1" s="13" t="s">
        <v>4</v>
      </c>
      <c r="I1" s="46" t="s">
        <v>12</v>
      </c>
    </row>
    <row r="2" spans="1:9" x14ac:dyDescent="0.35">
      <c r="A2" s="26" t="s">
        <v>5</v>
      </c>
      <c r="B2" s="27">
        <v>0.28819444444444442</v>
      </c>
      <c r="C2" s="27">
        <v>0.45902777777777776</v>
      </c>
      <c r="D2" s="47">
        <v>0.5</v>
      </c>
      <c r="E2" s="47">
        <v>0.66666666666666663</v>
      </c>
      <c r="F2" s="14">
        <f>SUM(C2-B2)*24</f>
        <v>4.0999999999999996</v>
      </c>
      <c r="G2" s="15">
        <f>SUM(E2-D2)*24</f>
        <v>3.9999999999999991</v>
      </c>
      <c r="H2" s="5">
        <f>F2+G2</f>
        <v>8.0999999999999979</v>
      </c>
      <c r="I2" s="45">
        <f>IF(AND(C2 &lt;&gt; "", D2 &lt;&gt; ""), (SUM(D2-C2)*1440), " - ")</f>
        <v>59.000000000000028</v>
      </c>
    </row>
    <row r="3" spans="1:9" x14ac:dyDescent="0.35">
      <c r="A3" s="26" t="s">
        <v>6</v>
      </c>
      <c r="B3" s="27">
        <v>0.28819444444444442</v>
      </c>
      <c r="C3" s="27">
        <v>0.45833333333333331</v>
      </c>
      <c r="D3" s="47">
        <v>0.5</v>
      </c>
      <c r="E3" s="47">
        <v>0.66666666666666663</v>
      </c>
      <c r="F3" s="14">
        <f>SUM(C3-B3)*24</f>
        <v>4.0833333333333339</v>
      </c>
      <c r="G3" s="15">
        <f>SUM(E3-D3)*24</f>
        <v>3.9999999999999991</v>
      </c>
      <c r="H3" s="5">
        <f t="shared" ref="H3:H6" si="0">F3+G3</f>
        <v>8.0833333333333321</v>
      </c>
      <c r="I3" s="45">
        <f>IF(AND(C3 &lt;&gt; "", D3 &lt;&gt; ""), (SUM(D3-C3)*1440), " - ")</f>
        <v>60.000000000000028</v>
      </c>
    </row>
    <row r="4" spans="1:9" x14ac:dyDescent="0.35">
      <c r="A4" s="26" t="s">
        <v>7</v>
      </c>
      <c r="B4" s="27">
        <v>0.28819444444444442</v>
      </c>
      <c r="C4" s="27">
        <v>0.46388888888888891</v>
      </c>
      <c r="D4" s="47">
        <v>0.5</v>
      </c>
      <c r="E4" s="47">
        <v>0.66666666666666663</v>
      </c>
      <c r="F4" s="29">
        <f>SUM(C4-B4)*24</f>
        <v>4.2166666666666677</v>
      </c>
      <c r="G4" s="30">
        <f t="shared" ref="G4:G6" si="1">SUM(E4-D4)*24</f>
        <v>3.9999999999999991</v>
      </c>
      <c r="H4" s="31">
        <f t="shared" si="0"/>
        <v>8.2166666666666668</v>
      </c>
      <c r="I4" s="45">
        <f t="shared" ref="I4:I6" si="2">IF(AND(C4 &lt;&gt; "", D4 &lt;&gt; ""), (SUM(D4-C4)*1440), " - ")</f>
        <v>51.999999999999972</v>
      </c>
    </row>
    <row r="5" spans="1:9" x14ac:dyDescent="0.35">
      <c r="A5" s="26" t="s">
        <v>8</v>
      </c>
      <c r="B5" s="27">
        <v>0.28819444444444442</v>
      </c>
      <c r="C5" s="27">
        <v>0.45833333333333331</v>
      </c>
      <c r="D5" s="47">
        <v>0.5</v>
      </c>
      <c r="E5" s="47">
        <v>0.66666666666666663</v>
      </c>
      <c r="F5" s="29">
        <f>SUM(C5-B5)*24</f>
        <v>4.0833333333333339</v>
      </c>
      <c r="G5" s="30">
        <f t="shared" si="1"/>
        <v>3.9999999999999991</v>
      </c>
      <c r="H5" s="31">
        <f t="shared" si="0"/>
        <v>8.0833333333333321</v>
      </c>
      <c r="I5" s="45">
        <f t="shared" si="2"/>
        <v>60.000000000000028</v>
      </c>
    </row>
    <row r="6" spans="1:9" ht="24" thickBot="1" x14ac:dyDescent="0.4">
      <c r="A6" s="17" t="s">
        <v>9</v>
      </c>
      <c r="B6" s="4">
        <v>0.28819444444444442</v>
      </c>
      <c r="C6" s="27">
        <v>0.45902777777777776</v>
      </c>
      <c r="D6" s="47">
        <v>0.5</v>
      </c>
      <c r="E6" s="47">
        <v>0.66666666666666663</v>
      </c>
      <c r="F6" s="14">
        <f t="shared" ref="F6" si="3">SUM(C6-B6)*24</f>
        <v>4.0999999999999996</v>
      </c>
      <c r="G6" s="15">
        <f t="shared" si="1"/>
        <v>3.9999999999999991</v>
      </c>
      <c r="H6" s="5">
        <f t="shared" si="0"/>
        <v>8.0999999999999979</v>
      </c>
      <c r="I6" s="45">
        <f t="shared" si="2"/>
        <v>59.000000000000028</v>
      </c>
    </row>
    <row r="7" spans="1:9" ht="36.75" thickBot="1" x14ac:dyDescent="0.6">
      <c r="B7" s="9"/>
      <c r="G7" s="2" t="s">
        <v>10</v>
      </c>
      <c r="H7" s="6">
        <f>SUM(H2:H6)</f>
        <v>40.583333333333329</v>
      </c>
    </row>
    <row r="8" spans="1:9" ht="24" thickBot="1" x14ac:dyDescent="0.4"/>
    <row r="9" spans="1:9" ht="24" thickBot="1" x14ac:dyDescent="0.4">
      <c r="G9" s="7" t="s">
        <v>11</v>
      </c>
      <c r="H9" s="8">
        <f>40-H7</f>
        <v>-0.5833333333333286</v>
      </c>
      <c r="I9" s="10"/>
    </row>
  </sheetData>
  <conditionalFormatting sqref="H2:H6">
    <cfRule type="cellIs" dxfId="23" priority="1" operator="greaterThan">
      <formula>7.99999999</formula>
    </cfRule>
    <cfRule type="cellIs" dxfId="22" priority="2" operator="lessThan">
      <formula>8</formula>
    </cfRule>
  </conditionalFormatting>
  <conditionalFormatting sqref="H7">
    <cfRule type="cellIs" dxfId="21" priority="3" operator="lessThan">
      <formula>40</formula>
    </cfRule>
    <cfRule type="cellIs" dxfId="20" priority="4" operator="greaterThan">
      <formula>39.999999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Button 1">
              <controlPr defaultSize="0" print="0" autoFill="0" autoPict="0" macro="[0]!btnReCalculateHours">
                <anchor moveWithCells="1" sizeWithCells="1">
                  <from>
                    <xdr:col>9</xdr:col>
                    <xdr:colOff>323850</xdr:colOff>
                    <xdr:row>0</xdr:row>
                    <xdr:rowOff>238125</xdr:rowOff>
                  </from>
                  <to>
                    <xdr:col>11</xdr:col>
                    <xdr:colOff>409575</xdr:colOff>
                    <xdr:row>0</xdr:row>
                    <xdr:rowOff>533400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3FCC-DF01-4A93-AC18-7BB1B7E81BAF}">
  <sheetPr codeName="Sheet11"/>
  <dimension ref="A1:I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3.28515625" style="3" customWidth="1"/>
    <col min="7" max="7" width="26" style="3" bestFit="1" customWidth="1"/>
    <col min="8" max="8" width="18.140625" style="3" bestFit="1" customWidth="1"/>
    <col min="9" max="9" width="11" bestFit="1" customWidth="1"/>
  </cols>
  <sheetData>
    <row r="1" spans="1:9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12" t="s">
        <v>2</v>
      </c>
      <c r="G1" s="13" t="s">
        <v>3</v>
      </c>
      <c r="H1" s="13" t="s">
        <v>4</v>
      </c>
      <c r="I1" s="46" t="s">
        <v>12</v>
      </c>
    </row>
    <row r="2" spans="1:9" x14ac:dyDescent="0.35">
      <c r="A2" s="26" t="s">
        <v>5</v>
      </c>
      <c r="B2" s="27">
        <v>0.28819444444444442</v>
      </c>
      <c r="C2" s="27">
        <v>0.46041666666666664</v>
      </c>
      <c r="D2" s="27">
        <v>0.5</v>
      </c>
      <c r="E2" s="28">
        <v>0.66666666666666663</v>
      </c>
      <c r="F2" s="14">
        <f>SUM(C2-B2)*24</f>
        <v>4.1333333333333329</v>
      </c>
      <c r="G2" s="15">
        <f>SUM(E2-D2)*24</f>
        <v>3.9999999999999991</v>
      </c>
      <c r="H2" s="5">
        <f>F2+G2</f>
        <v>8.1333333333333329</v>
      </c>
      <c r="I2" s="45">
        <f>IF(AND(C2 &lt;&gt; "", D2 &lt;&gt; ""), (SUM(D2-C2)*1440), " - ")</f>
        <v>57.000000000000036</v>
      </c>
    </row>
    <row r="3" spans="1:9" x14ac:dyDescent="0.35">
      <c r="A3" s="26" t="s">
        <v>6</v>
      </c>
      <c r="B3" s="27">
        <v>0.28819444444444442</v>
      </c>
      <c r="C3" s="27">
        <v>0.45833333333333331</v>
      </c>
      <c r="D3" s="27">
        <v>0.5</v>
      </c>
      <c r="E3" s="28">
        <v>0.66666666666666663</v>
      </c>
      <c r="F3" s="14">
        <f>SUM(C3-B3)*24</f>
        <v>4.0833333333333339</v>
      </c>
      <c r="G3" s="15">
        <f>SUM(E3-D3)*24</f>
        <v>3.9999999999999991</v>
      </c>
      <c r="H3" s="5">
        <f t="shared" ref="H3:H6" si="0">F3+G3</f>
        <v>8.0833333333333321</v>
      </c>
      <c r="I3" s="45">
        <f>IF(AND(C3 &lt;&gt; "", D3 &lt;&gt; ""), (SUM(D3-C3)*1440), " - ")</f>
        <v>60.000000000000028</v>
      </c>
    </row>
    <row r="4" spans="1:9" x14ac:dyDescent="0.35">
      <c r="A4" s="26" t="s">
        <v>7</v>
      </c>
      <c r="B4" s="27">
        <v>0.28819444444444442</v>
      </c>
      <c r="C4" s="27">
        <v>0.45902777777777776</v>
      </c>
      <c r="D4" s="27">
        <v>0.5</v>
      </c>
      <c r="E4" s="28">
        <v>0.66666666666666663</v>
      </c>
      <c r="F4" s="29">
        <f>SUM(C4-B4)*24</f>
        <v>4.0999999999999996</v>
      </c>
      <c r="G4" s="30">
        <f t="shared" ref="G4:G6" si="1">SUM(E4-D4)*24</f>
        <v>3.9999999999999991</v>
      </c>
      <c r="H4" s="31">
        <f t="shared" si="0"/>
        <v>8.0999999999999979</v>
      </c>
      <c r="I4" s="45">
        <f t="shared" ref="I4:I6" si="2">IF(AND(C4 &lt;&gt; "", D4 &lt;&gt; ""), (SUM(D4-C4)*1440), " - ")</f>
        <v>59.000000000000028</v>
      </c>
    </row>
    <row r="5" spans="1:9" x14ac:dyDescent="0.35">
      <c r="A5" s="26" t="s">
        <v>8</v>
      </c>
      <c r="B5" s="27">
        <v>0.28819444444444442</v>
      </c>
      <c r="C5" s="27">
        <v>0.45902777777777776</v>
      </c>
      <c r="D5" s="27">
        <v>0.5</v>
      </c>
      <c r="E5" s="28">
        <v>0.66666666666666663</v>
      </c>
      <c r="F5" s="29">
        <f>SUM(C5-B5)*24</f>
        <v>4.0999999999999996</v>
      </c>
      <c r="G5" s="30">
        <f t="shared" si="1"/>
        <v>3.9999999999999991</v>
      </c>
      <c r="H5" s="31">
        <f t="shared" si="0"/>
        <v>8.0999999999999979</v>
      </c>
      <c r="I5" s="45">
        <f t="shared" si="2"/>
        <v>59.000000000000028</v>
      </c>
    </row>
    <row r="6" spans="1:9" ht="24" thickBot="1" x14ac:dyDescent="0.4">
      <c r="A6" s="17" t="s">
        <v>9</v>
      </c>
      <c r="B6" s="4">
        <v>0.28819444444444442</v>
      </c>
      <c r="C6" s="27">
        <v>0.45833333333333331</v>
      </c>
      <c r="D6" s="27">
        <v>0.5</v>
      </c>
      <c r="E6" s="28">
        <v>0.66666666666666663</v>
      </c>
      <c r="F6" s="14">
        <f t="shared" ref="F6" si="3">SUM(C6-B6)*24</f>
        <v>4.0833333333333339</v>
      </c>
      <c r="G6" s="15">
        <f t="shared" si="1"/>
        <v>3.9999999999999991</v>
      </c>
      <c r="H6" s="5">
        <f t="shared" si="0"/>
        <v>8.0833333333333321</v>
      </c>
      <c r="I6" s="45">
        <f t="shared" si="2"/>
        <v>60.000000000000028</v>
      </c>
    </row>
    <row r="7" spans="1:9" ht="36.75" thickBot="1" x14ac:dyDescent="0.6">
      <c r="B7" s="9"/>
      <c r="G7" s="2" t="s">
        <v>10</v>
      </c>
      <c r="H7" s="6">
        <f>SUM(H2:H6)</f>
        <v>40.499999999999986</v>
      </c>
    </row>
    <row r="8" spans="1:9" ht="24" thickBot="1" x14ac:dyDescent="0.4"/>
    <row r="9" spans="1:9" ht="24" thickBot="1" x14ac:dyDescent="0.4">
      <c r="G9" s="7" t="s">
        <v>11</v>
      </c>
      <c r="H9" s="8">
        <f>40-H7</f>
        <v>-0.49999999999998579</v>
      </c>
      <c r="I9" s="10"/>
    </row>
  </sheetData>
  <conditionalFormatting sqref="H2:H6">
    <cfRule type="cellIs" dxfId="19" priority="1" operator="greaterThan">
      <formula>7.99999999</formula>
    </cfRule>
    <cfRule type="cellIs" dxfId="18" priority="2" operator="lessThan">
      <formula>8</formula>
    </cfRule>
  </conditionalFormatting>
  <conditionalFormatting sqref="H7">
    <cfRule type="cellIs" dxfId="17" priority="3" operator="lessThan">
      <formula>40</formula>
    </cfRule>
    <cfRule type="cellIs" dxfId="16" priority="4" operator="greaterThan">
      <formula>39.999999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 macro="[0]!btnReCalculateHours">
                <anchor moveWithCells="1" sizeWithCells="1">
                  <from>
                    <xdr:col>9</xdr:col>
                    <xdr:colOff>323850</xdr:colOff>
                    <xdr:row>0</xdr:row>
                    <xdr:rowOff>238125</xdr:rowOff>
                  </from>
                  <to>
                    <xdr:col>11</xdr:col>
                    <xdr:colOff>409575</xdr:colOff>
                    <xdr:row>0</xdr:row>
                    <xdr:rowOff>533400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1087-A5C5-4487-AE1F-C20675469F2A}">
  <sheetPr codeName="Sheet2"/>
  <dimension ref="A1:I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3.28515625" style="3" customWidth="1"/>
    <col min="7" max="7" width="26" style="3" bestFit="1" customWidth="1"/>
    <col min="8" max="8" width="18.140625" style="3" bestFit="1" customWidth="1"/>
    <col min="9" max="9" width="11" bestFit="1" customWidth="1"/>
  </cols>
  <sheetData>
    <row r="1" spans="1:9" ht="46.5" x14ac:dyDescent="0.35">
      <c r="A1" s="16"/>
      <c r="B1" s="13" t="s">
        <v>0</v>
      </c>
      <c r="C1" s="46" t="s">
        <v>13</v>
      </c>
      <c r="D1" s="46" t="s">
        <v>14</v>
      </c>
      <c r="E1" s="18" t="s">
        <v>1</v>
      </c>
      <c r="F1" s="12" t="s">
        <v>2</v>
      </c>
      <c r="G1" s="13" t="s">
        <v>3</v>
      </c>
      <c r="H1" s="13" t="s">
        <v>4</v>
      </c>
      <c r="I1" s="46" t="s">
        <v>12</v>
      </c>
    </row>
    <row r="2" spans="1:9" x14ac:dyDescent="0.35">
      <c r="A2" s="26" t="s">
        <v>5</v>
      </c>
      <c r="B2" s="27">
        <v>0.28819444444444442</v>
      </c>
      <c r="C2" s="27">
        <v>0.49166666666666664</v>
      </c>
      <c r="D2" s="27">
        <v>0.51944444444444449</v>
      </c>
      <c r="E2" s="28">
        <v>0.66736111111111107</v>
      </c>
      <c r="F2" s="14">
        <f>SUM(C2-B2)*24</f>
        <v>4.8833333333333329</v>
      </c>
      <c r="G2" s="15">
        <f>SUM(E2-D2)*24</f>
        <v>3.549999999999998</v>
      </c>
      <c r="H2" s="5">
        <f>F2+G2</f>
        <v>8.43333333333333</v>
      </c>
      <c r="I2" s="45">
        <f>IF(AND(C2 &lt;&gt; "", D2 &lt;&gt; ""), (SUM(D2-C2)*1440), " - ")</f>
        <v>40.000000000000099</v>
      </c>
    </row>
    <row r="3" spans="1:9" x14ac:dyDescent="0.35">
      <c r="A3" s="26" t="s">
        <v>6</v>
      </c>
      <c r="B3" s="27">
        <v>0.28819444444444442</v>
      </c>
      <c r="C3" s="27">
        <v>0.48333333333333334</v>
      </c>
      <c r="D3" s="27">
        <v>0.51111111111111107</v>
      </c>
      <c r="E3" s="28">
        <v>0.66736111111111107</v>
      </c>
      <c r="F3" s="14">
        <f>SUM(C3-B3)*24</f>
        <v>4.6833333333333336</v>
      </c>
      <c r="G3" s="15">
        <f>SUM(E3-D3)*24</f>
        <v>3.75</v>
      </c>
      <c r="H3" s="5">
        <f t="shared" ref="H3:H6" si="0">F3+G3</f>
        <v>8.4333333333333336</v>
      </c>
      <c r="I3" s="45">
        <f>IF(AND(C3 &lt;&gt; "", D3 &lt;&gt; ""), (SUM(D3-C3)*1440), " - ")</f>
        <v>39.999999999999936</v>
      </c>
    </row>
    <row r="4" spans="1:9" x14ac:dyDescent="0.35">
      <c r="A4" s="26" t="s">
        <v>7</v>
      </c>
      <c r="B4" s="27">
        <v>0.28819444444444442</v>
      </c>
      <c r="C4" s="27">
        <v>0.48055555555555557</v>
      </c>
      <c r="D4" s="27">
        <v>0.50694444444444442</v>
      </c>
      <c r="E4" s="28">
        <v>0.66736111111111107</v>
      </c>
      <c r="F4" s="29">
        <f>SUM(C4-B4)*24</f>
        <v>4.6166666666666671</v>
      </c>
      <c r="G4" s="30">
        <f t="shared" ref="G4:G6" si="1">SUM(E4-D4)*24</f>
        <v>3.8499999999999996</v>
      </c>
      <c r="H4" s="31">
        <f t="shared" si="0"/>
        <v>8.4666666666666668</v>
      </c>
      <c r="I4" s="45">
        <f t="shared" ref="I4:I6" si="2">IF(AND(C4 &lt;&gt; "", D4 &lt;&gt; ""), (SUM(D4-C4)*1440), " - ")</f>
        <v>37.999999999999943</v>
      </c>
    </row>
    <row r="5" spans="1:9" x14ac:dyDescent="0.35">
      <c r="A5" s="26" t="s">
        <v>8</v>
      </c>
      <c r="B5" s="27">
        <v>0.28819444444444442</v>
      </c>
      <c r="C5" s="27">
        <v>0.49166666666666664</v>
      </c>
      <c r="D5" s="27">
        <v>0.51736111111111116</v>
      </c>
      <c r="E5" s="28">
        <v>0.66666666666666663</v>
      </c>
      <c r="F5" s="29">
        <f>SUM(C5-B5)*24</f>
        <v>4.8833333333333329</v>
      </c>
      <c r="G5" s="30">
        <f t="shared" si="1"/>
        <v>3.5833333333333313</v>
      </c>
      <c r="H5" s="31">
        <f t="shared" si="0"/>
        <v>8.466666666666665</v>
      </c>
      <c r="I5" s="45">
        <f t="shared" si="2"/>
        <v>37.000000000000107</v>
      </c>
    </row>
    <row r="6" spans="1:9" ht="24" thickBot="1" x14ac:dyDescent="0.4">
      <c r="A6" s="17" t="s">
        <v>9</v>
      </c>
      <c r="B6" s="4">
        <v>0.28819444444444442</v>
      </c>
      <c r="C6" s="4">
        <v>0.4861111111111111</v>
      </c>
      <c r="D6" s="4">
        <v>0.51180555555555551</v>
      </c>
      <c r="E6" s="11">
        <v>0.70416666666666672</v>
      </c>
      <c r="F6" s="14">
        <f t="shared" ref="F6" si="3">SUM(C6-B6)*24</f>
        <v>4.75</v>
      </c>
      <c r="G6" s="15">
        <f t="shared" si="1"/>
        <v>4.6166666666666689</v>
      </c>
      <c r="H6" s="5">
        <f t="shared" si="0"/>
        <v>9.3666666666666689</v>
      </c>
      <c r="I6" s="45">
        <f t="shared" si="2"/>
        <v>36.99999999999995</v>
      </c>
    </row>
    <row r="7" spans="1:9" ht="36.75" thickBot="1" x14ac:dyDescent="0.6">
      <c r="B7" s="9"/>
      <c r="G7" s="2" t="s">
        <v>10</v>
      </c>
      <c r="H7" s="6">
        <f>SUM(H2:H6)</f>
        <v>43.166666666666664</v>
      </c>
    </row>
    <row r="8" spans="1:9" ht="24" thickBot="1" x14ac:dyDescent="0.4"/>
    <row r="9" spans="1:9" ht="24" thickBot="1" x14ac:dyDescent="0.4">
      <c r="G9" s="7" t="s">
        <v>11</v>
      </c>
      <c r="H9" s="8">
        <f>40-H7</f>
        <v>-3.1666666666666643</v>
      </c>
      <c r="I9" s="10"/>
    </row>
  </sheetData>
  <conditionalFormatting sqref="H2:H6">
    <cfRule type="cellIs" dxfId="15" priority="1" operator="greaterThan">
      <formula>7.99999999</formula>
    </cfRule>
    <cfRule type="cellIs" dxfId="14" priority="2" operator="lessThan">
      <formula>8</formula>
    </cfRule>
  </conditionalFormatting>
  <conditionalFormatting sqref="H7">
    <cfRule type="cellIs" dxfId="13" priority="3" operator="lessThan">
      <formula>40</formula>
    </cfRule>
    <cfRule type="cellIs" dxfId="12" priority="4" operator="greaterThan">
      <formula>39.999999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Pict="0" macro="[0]!btnReCalculateHours">
                <anchor moveWithCells="1" sizeWithCells="1">
                  <from>
                    <xdr:col>9</xdr:col>
                    <xdr:colOff>323850</xdr:colOff>
                    <xdr:row>0</xdr:row>
                    <xdr:rowOff>238125</xdr:rowOff>
                  </from>
                  <to>
                    <xdr:col>11</xdr:col>
                    <xdr:colOff>409575</xdr:colOff>
                    <xdr:row>0</xdr:row>
                    <xdr:rowOff>533400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E483-C5CC-464C-A742-5BF94B5FD4EF}">
  <sheetPr codeName="Sheet3"/>
  <dimension ref="A1:I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3.28515625" style="3" customWidth="1"/>
    <col min="7" max="7" width="26" style="3" bestFit="1" customWidth="1"/>
    <col min="8" max="8" width="18.140625" style="3" bestFit="1" customWidth="1"/>
    <col min="9" max="9" width="11" bestFit="1" customWidth="1"/>
  </cols>
  <sheetData>
    <row r="1" spans="1:9" ht="46.5" x14ac:dyDescent="0.35">
      <c r="A1" s="16"/>
      <c r="B1" s="13" t="s">
        <v>0</v>
      </c>
      <c r="C1" s="13" t="s">
        <v>1</v>
      </c>
      <c r="D1" s="13" t="s">
        <v>0</v>
      </c>
      <c r="E1" s="18" t="s">
        <v>1</v>
      </c>
      <c r="F1" s="12" t="s">
        <v>2</v>
      </c>
      <c r="G1" s="13" t="s">
        <v>3</v>
      </c>
      <c r="H1" s="13" t="s">
        <v>4</v>
      </c>
      <c r="I1" s="46" t="s">
        <v>12</v>
      </c>
    </row>
    <row r="2" spans="1:9" x14ac:dyDescent="0.35">
      <c r="A2" s="26" t="s">
        <v>5</v>
      </c>
      <c r="B2" s="27">
        <v>0.28819444444444442</v>
      </c>
      <c r="C2" s="27">
        <v>0.5</v>
      </c>
      <c r="D2" s="27">
        <v>0.52708333333333335</v>
      </c>
      <c r="E2" s="28">
        <v>0.66736111111111107</v>
      </c>
      <c r="F2" s="14">
        <f>SUM(C2-B2)*24</f>
        <v>5.0833333333333339</v>
      </c>
      <c r="G2" s="15">
        <f>SUM(E2-D2)*24</f>
        <v>3.3666666666666654</v>
      </c>
      <c r="H2" s="5">
        <f>F2+G2</f>
        <v>8.4499999999999993</v>
      </c>
      <c r="I2" s="45">
        <f>IF(AND(C2 &lt;&gt; "", D2 &lt;&gt; ""), (SUM(D2-C2)*24)*60, " - ")</f>
        <v>39.000000000000021</v>
      </c>
    </row>
    <row r="3" spans="1:9" x14ac:dyDescent="0.35">
      <c r="A3" s="26" t="s">
        <v>6</v>
      </c>
      <c r="B3" s="27">
        <v>0.28819444444444442</v>
      </c>
      <c r="C3" s="27">
        <v>0.4861111111111111</v>
      </c>
      <c r="D3" s="27">
        <v>0.51388888888888884</v>
      </c>
      <c r="E3" s="28">
        <v>0.66736111111111107</v>
      </c>
      <c r="F3" s="14">
        <f>SUM(C3-B3)*24</f>
        <v>4.75</v>
      </c>
      <c r="G3" s="15">
        <f>SUM(E3-D3)*24</f>
        <v>3.6833333333333336</v>
      </c>
      <c r="H3" s="5">
        <f t="shared" ref="H3:H6" si="0">F3+G3</f>
        <v>8.4333333333333336</v>
      </c>
      <c r="I3" s="45">
        <f>IF(AND(C3 &lt;&gt; "", D3 &lt;&gt; ""), (SUM(D3-C3)*24)*60, " - ")</f>
        <v>39.999999999999936</v>
      </c>
    </row>
    <row r="4" spans="1:9" x14ac:dyDescent="0.35">
      <c r="A4" s="26" t="s">
        <v>7</v>
      </c>
      <c r="B4" s="27">
        <v>0.28819444444444442</v>
      </c>
      <c r="C4" s="27">
        <v>0.48055555555555557</v>
      </c>
      <c r="D4" s="27">
        <v>0.50624999999999998</v>
      </c>
      <c r="E4" s="28">
        <v>0.66805555555555551</v>
      </c>
      <c r="F4" s="29">
        <f>SUM(C4-B4)*24</f>
        <v>4.6166666666666671</v>
      </c>
      <c r="G4" s="30">
        <f t="shared" ref="G4:G6" si="1">SUM(E4-D4)*24</f>
        <v>3.8833333333333329</v>
      </c>
      <c r="H4" s="44">
        <f t="shared" si="0"/>
        <v>8.5</v>
      </c>
      <c r="I4" s="45">
        <f t="shared" ref="I4:I6" si="2">IF(AND(C4 &lt;&gt; "", D4 &lt;&gt; ""), (SUM(D4-C4)*24)*60, " - ")</f>
        <v>36.99999999999995</v>
      </c>
    </row>
    <row r="5" spans="1:9" x14ac:dyDescent="0.35">
      <c r="A5" s="26" t="s">
        <v>8</v>
      </c>
      <c r="B5" s="27">
        <v>0.28819444444444442</v>
      </c>
      <c r="C5" s="27">
        <v>0.5</v>
      </c>
      <c r="D5" s="27">
        <v>0.52708333333333335</v>
      </c>
      <c r="E5" s="28">
        <v>0.66805555555555551</v>
      </c>
      <c r="F5" s="29">
        <f>SUM(C5-B5)*24</f>
        <v>5.0833333333333339</v>
      </c>
      <c r="G5" s="30">
        <f t="shared" si="1"/>
        <v>3.383333333333332</v>
      </c>
      <c r="H5" s="31">
        <f t="shared" si="0"/>
        <v>8.466666666666665</v>
      </c>
      <c r="I5" s="45">
        <f t="shared" si="2"/>
        <v>39.000000000000021</v>
      </c>
    </row>
    <row r="6" spans="1:9" ht="24" thickBot="1" x14ac:dyDescent="0.4">
      <c r="A6" s="17" t="s">
        <v>9</v>
      </c>
      <c r="B6" s="47">
        <v>0.29166666666666669</v>
      </c>
      <c r="C6" s="47">
        <v>0.47916666666666669</v>
      </c>
      <c r="D6" s="47">
        <v>0.52083333333333337</v>
      </c>
      <c r="E6" s="47">
        <v>0.66666666666666663</v>
      </c>
      <c r="F6" s="14">
        <f t="shared" ref="F6" si="3">SUM(C6-B6)*24</f>
        <v>4.5</v>
      </c>
      <c r="G6" s="15">
        <f t="shared" si="1"/>
        <v>3.4999999999999982</v>
      </c>
      <c r="H6" s="5">
        <f t="shared" si="0"/>
        <v>7.9999999999999982</v>
      </c>
      <c r="I6" s="45">
        <f t="shared" si="2"/>
        <v>60.000000000000028</v>
      </c>
    </row>
    <row r="7" spans="1:9" ht="36.75" thickBot="1" x14ac:dyDescent="0.6">
      <c r="B7" s="9"/>
      <c r="G7" s="2" t="s">
        <v>10</v>
      </c>
      <c r="H7" s="6">
        <f>SUM(H2:H6)</f>
        <v>41.849999999999994</v>
      </c>
    </row>
    <row r="8" spans="1:9" ht="24" thickBot="1" x14ac:dyDescent="0.4"/>
    <row r="9" spans="1:9" ht="24" thickBot="1" x14ac:dyDescent="0.4">
      <c r="G9" s="7" t="s">
        <v>11</v>
      </c>
      <c r="H9" s="8">
        <f>40-H7</f>
        <v>-1.8499999999999943</v>
      </c>
      <c r="I9" s="10"/>
    </row>
  </sheetData>
  <conditionalFormatting sqref="H2:H6">
    <cfRule type="cellIs" dxfId="11" priority="1" operator="greaterThan">
      <formula>7.99999999</formula>
    </cfRule>
    <cfRule type="cellIs" dxfId="10" priority="2" operator="lessThan">
      <formula>8</formula>
    </cfRule>
  </conditionalFormatting>
  <conditionalFormatting sqref="H7">
    <cfRule type="cellIs" dxfId="9" priority="3" operator="lessThan">
      <formula>40</formula>
    </cfRule>
    <cfRule type="cellIs" dxfId="8" priority="4" operator="greaterThan">
      <formula>39.999999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btnReCalculateHours">
                <anchor moveWithCells="1" sizeWithCells="1">
                  <from>
                    <xdr:col>9</xdr:col>
                    <xdr:colOff>552450</xdr:colOff>
                    <xdr:row>0</xdr:row>
                    <xdr:rowOff>238125</xdr:rowOff>
                  </from>
                  <to>
                    <xdr:col>12</xdr:col>
                    <xdr:colOff>28575</xdr:colOff>
                    <xdr:row>0</xdr:row>
                    <xdr:rowOff>504825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3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3.28515625" style="3" customWidth="1"/>
    <col min="7" max="7" width="26" style="3" bestFit="1" customWidth="1"/>
    <col min="8" max="8" width="18.140625" style="3" bestFit="1" customWidth="1"/>
    <col min="9" max="9" width="16.42578125" bestFit="1" customWidth="1"/>
  </cols>
  <sheetData>
    <row r="1" spans="1:9" ht="46.5" x14ac:dyDescent="0.35">
      <c r="A1" s="16"/>
      <c r="B1" s="13" t="s">
        <v>0</v>
      </c>
      <c r="C1" s="13" t="s">
        <v>1</v>
      </c>
      <c r="D1" s="13" t="s">
        <v>0</v>
      </c>
      <c r="E1" s="18" t="s">
        <v>1</v>
      </c>
      <c r="F1" s="12" t="s">
        <v>2</v>
      </c>
      <c r="G1" s="13" t="s">
        <v>3</v>
      </c>
      <c r="H1" s="13" t="s">
        <v>4</v>
      </c>
      <c r="I1" s="46" t="s">
        <v>12</v>
      </c>
    </row>
    <row r="2" spans="1:9" x14ac:dyDescent="0.35">
      <c r="A2" s="17" t="s">
        <v>5</v>
      </c>
      <c r="B2" s="4">
        <v>0.28819444444444442</v>
      </c>
      <c r="C2" s="4">
        <v>0.5541666666666667</v>
      </c>
      <c r="D2" s="4">
        <v>0.58611111111111114</v>
      </c>
      <c r="E2" s="11">
        <v>0.66805555555555551</v>
      </c>
      <c r="F2" s="14">
        <f>SUM(C2-B2)*24</f>
        <v>6.3833333333333346</v>
      </c>
      <c r="G2" s="15">
        <f>SUM(E2-D2)*24</f>
        <v>1.966666666666665</v>
      </c>
      <c r="H2" s="5">
        <f>F2+G2</f>
        <v>8.35</v>
      </c>
      <c r="I2" s="45">
        <f>IF(AND(C2 &lt;&gt; "", D2 &lt;&gt; ""), (SUM(D2-C2)*24)*60, " - ")</f>
        <v>46</v>
      </c>
    </row>
    <row r="3" spans="1:9" ht="24" thickBot="1" x14ac:dyDescent="0.4">
      <c r="A3" s="20" t="s">
        <v>6</v>
      </c>
      <c r="B3" s="21">
        <v>0.4201388888888889</v>
      </c>
      <c r="C3" s="21">
        <v>0.75347222222222221</v>
      </c>
      <c r="D3" s="21"/>
      <c r="E3" s="22"/>
      <c r="F3" s="23">
        <f>SUM(C3-B3)*24</f>
        <v>8</v>
      </c>
      <c r="G3" s="24">
        <f>SUM(E3-D3)*24</f>
        <v>0</v>
      </c>
      <c r="H3" s="25">
        <f t="shared" ref="H3:H7" si="0">F3+G3</f>
        <v>8</v>
      </c>
      <c r="I3" s="45" t="str">
        <f>IF(AND(C3 &lt;&gt; "", D3 &lt;&gt; ""), (SUM(D3-C3)*24)*60, " - ")</f>
        <v xml:space="preserve"> - </v>
      </c>
    </row>
    <row r="4" spans="1:9" x14ac:dyDescent="0.35">
      <c r="A4" s="32" t="s">
        <v>7</v>
      </c>
      <c r="B4" s="33">
        <v>0.28819444444444442</v>
      </c>
      <c r="C4" s="33">
        <v>0.5229166666666667</v>
      </c>
      <c r="D4" s="33">
        <v>0.56388888888888888</v>
      </c>
      <c r="E4" s="34">
        <v>0.60416666666666663</v>
      </c>
      <c r="F4" s="35">
        <f>SUM(C4-B4)*24</f>
        <v>5.6333333333333346</v>
      </c>
      <c r="G4" s="36">
        <f t="shared" ref="G4:G7" si="1">SUM(E4-D4)*24</f>
        <v>0.9666666666666659</v>
      </c>
      <c r="H4" s="37">
        <f t="shared" si="0"/>
        <v>6.6000000000000005</v>
      </c>
      <c r="I4" s="45">
        <f t="shared" ref="I4:I7" si="2">IF(AND(C4 &lt;&gt; "", D4 &lt;&gt; ""), (SUM(D4-C4)*24)*60, " - ")</f>
        <v>58.99999999999995</v>
      </c>
    </row>
    <row r="5" spans="1:9" ht="24" thickBot="1" x14ac:dyDescent="0.4">
      <c r="A5" s="38"/>
      <c r="B5" s="39">
        <v>0.73958333333333337</v>
      </c>
      <c r="C5" s="39">
        <v>0.80069444444444449</v>
      </c>
      <c r="D5" s="39"/>
      <c r="E5" s="40"/>
      <c r="F5" s="41">
        <f>SUM(C5-B5)*24</f>
        <v>1.4666666666666668</v>
      </c>
      <c r="G5" s="42">
        <f t="shared" si="1"/>
        <v>0</v>
      </c>
      <c r="H5" s="43">
        <f t="shared" si="0"/>
        <v>1.4666666666666668</v>
      </c>
      <c r="I5" s="45" t="str">
        <f t="shared" si="2"/>
        <v xml:space="preserve"> - </v>
      </c>
    </row>
    <row r="6" spans="1:9" x14ac:dyDescent="0.35">
      <c r="A6" s="26" t="s">
        <v>8</v>
      </c>
      <c r="B6" s="27">
        <v>0.28958333333333336</v>
      </c>
      <c r="C6" s="27">
        <v>0.48055555555555557</v>
      </c>
      <c r="D6" s="27">
        <v>0.5131944444444444</v>
      </c>
      <c r="E6" s="28">
        <v>0.66666666666666663</v>
      </c>
      <c r="F6" s="29">
        <f>SUM(C6-B6)*24</f>
        <v>4.583333333333333</v>
      </c>
      <c r="G6" s="30">
        <f t="shared" si="1"/>
        <v>3.6833333333333336</v>
      </c>
      <c r="H6" s="31">
        <f t="shared" si="0"/>
        <v>8.2666666666666657</v>
      </c>
      <c r="I6" s="45">
        <f t="shared" si="2"/>
        <v>46.999999999999915</v>
      </c>
    </row>
    <row r="7" spans="1:9" ht="24" thickBot="1" x14ac:dyDescent="0.4">
      <c r="A7" s="17" t="s">
        <v>9</v>
      </c>
      <c r="B7" s="4">
        <v>0.28611111111111109</v>
      </c>
      <c r="C7" s="4">
        <v>0.49722222222222223</v>
      </c>
      <c r="D7" s="4">
        <v>0.52708333333333335</v>
      </c>
      <c r="E7" s="11">
        <v>0.66666666666666663</v>
      </c>
      <c r="F7" s="14">
        <f t="shared" ref="F7" si="3">SUM(C7-B7)*24</f>
        <v>5.0666666666666673</v>
      </c>
      <c r="G7" s="15">
        <f t="shared" si="1"/>
        <v>3.3499999999999988</v>
      </c>
      <c r="H7" s="5">
        <f t="shared" si="0"/>
        <v>8.4166666666666661</v>
      </c>
      <c r="I7" s="45">
        <f t="shared" si="2"/>
        <v>43.000000000000007</v>
      </c>
    </row>
    <row r="8" spans="1:9" ht="36.75" thickBot="1" x14ac:dyDescent="0.6">
      <c r="B8" s="9"/>
      <c r="G8" s="2" t="s">
        <v>10</v>
      </c>
      <c r="H8" s="6">
        <f>SUM(H2:H7)</f>
        <v>41.1</v>
      </c>
    </row>
    <row r="9" spans="1:9" ht="24" thickBot="1" x14ac:dyDescent="0.4"/>
    <row r="10" spans="1:9" ht="24" thickBot="1" x14ac:dyDescent="0.4">
      <c r="G10" s="7" t="s">
        <v>11</v>
      </c>
      <c r="H10" s="8">
        <f>40-H8</f>
        <v>-1.1000000000000014</v>
      </c>
      <c r="I10" s="10"/>
    </row>
    <row r="13" spans="1:9" x14ac:dyDescent="0.35">
      <c r="D13" s="19" t="str">
        <f>IF(AND(ISNUMBER(D3),ISNUMBER(E3)),SUM(E3-D3)*24,"FALSE")</f>
        <v>FALSE</v>
      </c>
    </row>
  </sheetData>
  <conditionalFormatting sqref="H2:H7">
    <cfRule type="cellIs" dxfId="7" priority="1" operator="greaterThan">
      <formula>7.99999999</formula>
    </cfRule>
    <cfRule type="cellIs" dxfId="6" priority="2" operator="lessThan">
      <formula>8</formula>
    </cfRule>
  </conditionalFormatting>
  <conditionalFormatting sqref="H8">
    <cfRule type="cellIs" dxfId="5" priority="3" operator="lessThan">
      <formula>40</formula>
    </cfRule>
    <cfRule type="cellIs" dxfId="4" priority="4" operator="greaterThan">
      <formula>39.999999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btnReCalculateHours">
                <anchor moveWithCells="1" sizeWithCells="1">
                  <from>
                    <xdr:col>9</xdr:col>
                    <xdr:colOff>314325</xdr:colOff>
                    <xdr:row>0</xdr:row>
                    <xdr:rowOff>447675</xdr:rowOff>
                  </from>
                  <to>
                    <xdr:col>11</xdr:col>
                    <xdr:colOff>361950</xdr:colOff>
                    <xdr:row>0</xdr:row>
                    <xdr:rowOff>723900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7CAE-FDF5-46A9-A5AA-A6F870AEAB17}">
  <sheetPr codeName="Sheet4"/>
  <dimension ref="A1:I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3.28515625" style="3" customWidth="1"/>
    <col min="7" max="7" width="26" style="3" bestFit="1" customWidth="1"/>
    <col min="8" max="8" width="18.140625" style="3" bestFit="1" customWidth="1"/>
    <col min="9" max="9" width="11" bestFit="1" customWidth="1"/>
  </cols>
  <sheetData>
    <row r="1" spans="1:9" ht="46.5" x14ac:dyDescent="0.35">
      <c r="A1" s="16"/>
      <c r="B1" s="13" t="s">
        <v>0</v>
      </c>
      <c r="C1" s="13" t="s">
        <v>1</v>
      </c>
      <c r="D1" s="13" t="s">
        <v>0</v>
      </c>
      <c r="E1" s="18" t="s">
        <v>1</v>
      </c>
      <c r="F1" s="12" t="s">
        <v>2</v>
      </c>
      <c r="G1" s="13" t="s">
        <v>3</v>
      </c>
      <c r="H1" s="13" t="s">
        <v>4</v>
      </c>
      <c r="I1" s="46" t="s">
        <v>12</v>
      </c>
    </row>
    <row r="2" spans="1:9" x14ac:dyDescent="0.35">
      <c r="A2" s="17" t="s">
        <v>5</v>
      </c>
      <c r="B2" s="4">
        <v>0.28819444444444442</v>
      </c>
      <c r="C2" s="4">
        <v>0.48472222222222222</v>
      </c>
      <c r="D2" s="4">
        <v>0.51597222222222228</v>
      </c>
      <c r="E2" s="11">
        <v>0.67013888888888884</v>
      </c>
      <c r="F2" s="14">
        <f>SUM(C2-B2)*24</f>
        <v>4.7166666666666668</v>
      </c>
      <c r="G2" s="15">
        <f>SUM(E2-D2)*24</f>
        <v>3.6999999999999975</v>
      </c>
      <c r="H2" s="5">
        <f>F2+G2</f>
        <v>8.4166666666666643</v>
      </c>
      <c r="I2" s="45">
        <f>IF(AND(C2 &lt;&gt; "", D2 &lt;&gt; ""), (SUM(D2-C2)*24)*60, " - ")</f>
        <v>45.000000000000078</v>
      </c>
    </row>
    <row r="3" spans="1:9" x14ac:dyDescent="0.35">
      <c r="A3" s="17" t="s">
        <v>6</v>
      </c>
      <c r="B3" s="4">
        <v>0.28819444444444442</v>
      </c>
      <c r="C3" s="4">
        <v>0.47916666666666669</v>
      </c>
      <c r="D3" s="4">
        <v>0.51111111111111107</v>
      </c>
      <c r="E3" s="11">
        <v>0.66666666666666663</v>
      </c>
      <c r="F3" s="14">
        <f>SUM(C3-B3)*24</f>
        <v>4.5833333333333339</v>
      </c>
      <c r="G3" s="15">
        <f>SUM(E3-D3)*24</f>
        <v>3.7333333333333334</v>
      </c>
      <c r="H3" s="5">
        <f t="shared" ref="H3:H6" si="0">F3+G3</f>
        <v>8.3166666666666664</v>
      </c>
      <c r="I3" s="45">
        <f>IF(AND(C3 &lt;&gt; "", D3 &lt;&gt; ""), (SUM(D3-C3)*24)*60, " - ")</f>
        <v>45.999999999999915</v>
      </c>
    </row>
    <row r="4" spans="1:9" x14ac:dyDescent="0.35">
      <c r="A4" s="17" t="s">
        <v>7</v>
      </c>
      <c r="B4" s="4">
        <v>0.28819444444444442</v>
      </c>
      <c r="C4" s="4">
        <v>0.50416666666666665</v>
      </c>
      <c r="D4" s="4">
        <v>0.55277777777777781</v>
      </c>
      <c r="E4" s="11">
        <v>0.67152777777777772</v>
      </c>
      <c r="F4" s="14">
        <f>SUM(C4-B4)*24</f>
        <v>5.1833333333333336</v>
      </c>
      <c r="G4" s="15">
        <f t="shared" ref="G4:G6" si="1">SUM(E4-D4)*24</f>
        <v>2.8499999999999979</v>
      </c>
      <c r="H4" s="5">
        <f t="shared" si="0"/>
        <v>8.0333333333333314</v>
      </c>
      <c r="I4" s="45">
        <f t="shared" ref="I4:I6" si="2">IF(AND(C4 &lt;&gt; "", D4 &lt;&gt; ""), (SUM(D4-C4)*24)*60, " - ")</f>
        <v>70.000000000000071</v>
      </c>
    </row>
    <row r="5" spans="1:9" x14ac:dyDescent="0.35">
      <c r="A5" s="17" t="s">
        <v>8</v>
      </c>
      <c r="B5" s="4">
        <v>0.28819444444444442</v>
      </c>
      <c r="C5" s="4">
        <v>0.50624999999999998</v>
      </c>
      <c r="D5" s="4">
        <v>0.53263888888888888</v>
      </c>
      <c r="E5" s="11">
        <v>0.66736111111111107</v>
      </c>
      <c r="F5" s="14">
        <f>SUM(C5-B5)*24</f>
        <v>5.2333333333333334</v>
      </c>
      <c r="G5" s="15">
        <f t="shared" si="1"/>
        <v>3.2333333333333325</v>
      </c>
      <c r="H5" s="5">
        <f t="shared" si="0"/>
        <v>8.466666666666665</v>
      </c>
      <c r="I5" s="45">
        <f t="shared" si="2"/>
        <v>38.000000000000028</v>
      </c>
    </row>
    <row r="6" spans="1:9" ht="24" thickBot="1" x14ac:dyDescent="0.4">
      <c r="A6" s="17" t="s">
        <v>9</v>
      </c>
      <c r="B6" s="4">
        <v>0.28819444444444442</v>
      </c>
      <c r="C6" s="4">
        <v>0.48055555555555557</v>
      </c>
      <c r="D6" s="4">
        <v>0.5131944444444444</v>
      </c>
      <c r="E6" s="11">
        <v>0.66666666666666663</v>
      </c>
      <c r="F6" s="14">
        <f t="shared" ref="F6" si="3">SUM(C6-B6)*24</f>
        <v>4.6166666666666671</v>
      </c>
      <c r="G6" s="15">
        <f t="shared" si="1"/>
        <v>3.6833333333333336</v>
      </c>
      <c r="H6" s="5">
        <f t="shared" si="0"/>
        <v>8.3000000000000007</v>
      </c>
      <c r="I6" s="45">
        <f t="shared" si="2"/>
        <v>46.999999999999915</v>
      </c>
    </row>
    <row r="7" spans="1:9" ht="36.75" thickBot="1" x14ac:dyDescent="0.6">
      <c r="B7" s="9"/>
      <c r="G7" s="2" t="s">
        <v>10</v>
      </c>
      <c r="H7" s="6">
        <f>SUM(H2:H6)</f>
        <v>41.533333333333331</v>
      </c>
    </row>
    <row r="8" spans="1:9" ht="24" thickBot="1" x14ac:dyDescent="0.4"/>
    <row r="9" spans="1:9" ht="24" thickBot="1" x14ac:dyDescent="0.4">
      <c r="G9" s="7" t="s">
        <v>11</v>
      </c>
      <c r="H9" s="8">
        <f>40-H7</f>
        <v>-1.5333333333333314</v>
      </c>
      <c r="I9" s="10"/>
    </row>
  </sheetData>
  <conditionalFormatting sqref="H2:H6">
    <cfRule type="cellIs" dxfId="3" priority="1" operator="greaterThan">
      <formula>7.99999999</formula>
    </cfRule>
    <cfRule type="cellIs" dxfId="2" priority="2" operator="lessThan">
      <formula>8</formula>
    </cfRule>
  </conditionalFormatting>
  <conditionalFormatting sqref="H7">
    <cfRule type="cellIs" dxfId="1" priority="3" operator="lessThan">
      <formula>40</formula>
    </cfRule>
    <cfRule type="cellIs" dxfId="0" priority="4" operator="greaterThan">
      <formula>39.999999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btnReCalculateHours">
                <anchor moveWithCells="1" sizeWithCells="1">
                  <from>
                    <xdr:col>9</xdr:col>
                    <xdr:colOff>409575</xdr:colOff>
                    <xdr:row>0</xdr:row>
                    <xdr:rowOff>314325</xdr:rowOff>
                  </from>
                  <to>
                    <xdr:col>11</xdr:col>
                    <xdr:colOff>571500</xdr:colOff>
                    <xdr:row>0</xdr:row>
                    <xdr:rowOff>609600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20241230</vt:lpstr>
      <vt:lpstr>20241223</vt:lpstr>
      <vt:lpstr>20241216</vt:lpstr>
      <vt:lpstr>20241209</vt:lpstr>
      <vt:lpstr>20241202</vt:lpstr>
      <vt:lpstr>20241125</vt:lpstr>
      <vt:lpstr>20241118</vt:lpstr>
      <vt:lpstr>20241111</vt:lpstr>
      <vt:lpstr>20241104</vt:lpstr>
      <vt:lpstr>20241028</vt:lpstr>
      <vt:lpstr>20241021</vt:lpstr>
      <vt:lpstr>20241014</vt:lpstr>
      <vt:lpstr>20241007</vt:lpstr>
      <vt:lpstr>20240930</vt:lpstr>
      <vt:lpstr>20240923</vt:lpstr>
      <vt:lpstr>20240916</vt:lpstr>
      <vt:lpstr>20240909</vt:lpstr>
      <vt:lpstr>20240903</vt:lpstr>
      <vt:lpstr>20240826</vt:lpstr>
      <vt:lpstr>20240819</vt:lpstr>
      <vt:lpstr>20240812</vt:lpstr>
      <vt:lpstr>20240805</vt:lpstr>
      <vt:lpstr>20240729</vt:lpstr>
      <vt:lpstr>20240722</vt:lpstr>
      <vt:lpstr>20240715</vt:lpstr>
      <vt:lpstr>20240708</vt:lpstr>
    </vt:vector>
  </TitlesOfParts>
  <Manager/>
  <Company>USFS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Wong</dc:creator>
  <cp:keywords/>
  <dc:description/>
  <cp:lastModifiedBy>Nathan Stuart</cp:lastModifiedBy>
  <cp:revision/>
  <dcterms:created xsi:type="dcterms:W3CDTF">2022-01-14T21:33:16Z</dcterms:created>
  <dcterms:modified xsi:type="dcterms:W3CDTF">2025-01-13T11:39:26Z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bf2e69-252d-4f6b-92f6-eb2eecdca5c7_Enabled">
    <vt:lpwstr>true</vt:lpwstr>
  </property>
  <property fmtid="{D5CDD505-2E9C-101B-9397-08002B2CF9AE}" pid="3" name="MSIP_Label_33bf2e69-252d-4f6b-92f6-eb2eecdca5c7_SetDate">
    <vt:lpwstr>2023-07-11T16:27:31Z</vt:lpwstr>
  </property>
  <property fmtid="{D5CDD505-2E9C-101B-9397-08002B2CF9AE}" pid="4" name="MSIP_Label_33bf2e69-252d-4f6b-92f6-eb2eecdca5c7_Method">
    <vt:lpwstr>Standard</vt:lpwstr>
  </property>
  <property fmtid="{D5CDD505-2E9C-101B-9397-08002B2CF9AE}" pid="5" name="MSIP_Label_33bf2e69-252d-4f6b-92f6-eb2eecdca5c7_Name">
    <vt:lpwstr>Internal</vt:lpwstr>
  </property>
  <property fmtid="{D5CDD505-2E9C-101B-9397-08002B2CF9AE}" pid="6" name="MSIP_Label_33bf2e69-252d-4f6b-92f6-eb2eecdca5c7_SiteId">
    <vt:lpwstr>13d3189d-22a4-4f96-bbc9-2af46c222581</vt:lpwstr>
  </property>
  <property fmtid="{D5CDD505-2E9C-101B-9397-08002B2CF9AE}" pid="7" name="MSIP_Label_33bf2e69-252d-4f6b-92f6-eb2eecdca5c7_ActionId">
    <vt:lpwstr>5431764e-37b5-4a02-a55d-9353e2920ac4</vt:lpwstr>
  </property>
  <property fmtid="{D5CDD505-2E9C-101B-9397-08002B2CF9AE}" pid="8" name="MSIP_Label_33bf2e69-252d-4f6b-92f6-eb2eecdca5c7_ContentBits">
    <vt:lpwstr>0</vt:lpwstr>
  </property>
</Properties>
</file>