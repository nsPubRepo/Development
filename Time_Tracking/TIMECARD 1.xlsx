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shore-my.sharepoint.com/personal/nstuart_uwm_com/Documents/Desktop/"/>
    </mc:Choice>
  </mc:AlternateContent>
  <xr:revisionPtr revIDLastSave="1470" documentId="13_ncr:1_{41D4D1E6-6E63-437A-9E89-FA57C6A568D2}" xr6:coauthVersionLast="47" xr6:coauthVersionMax="47" xr10:uidLastSave="{8BA7C0FA-8513-444A-9E11-C1F6F05F8D49}"/>
  <bookViews>
    <workbookView xWindow="5685" yWindow="0" windowWidth="28770" windowHeight="20985" xr2:uid="{552836A1-C5A0-4431-AE7A-295C2CA00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31" i="1"/>
  <c r="J6" i="1"/>
  <c r="D12" i="1"/>
  <c r="D6" i="1"/>
  <c r="D15" i="1"/>
  <c r="D9" i="1"/>
  <c r="J42" i="1"/>
  <c r="D42" i="1"/>
  <c r="J40" i="1"/>
  <c r="D40" i="1"/>
  <c r="K38" i="1"/>
  <c r="E38" i="1"/>
  <c r="J37" i="1"/>
  <c r="D37" i="1"/>
  <c r="K35" i="1"/>
  <c r="E35" i="1"/>
  <c r="J34" i="1"/>
  <c r="K32" i="1"/>
  <c r="E32" i="1"/>
  <c r="J31" i="1"/>
  <c r="K29" i="1"/>
  <c r="E29" i="1"/>
  <c r="J28" i="1"/>
  <c r="D28" i="1"/>
  <c r="K26" i="1"/>
  <c r="E26" i="1"/>
  <c r="J25" i="1"/>
  <c r="D25" i="1"/>
  <c r="J20" i="1"/>
  <c r="D20" i="1"/>
  <c r="J18" i="1"/>
  <c r="D18" i="1"/>
  <c r="K16" i="1"/>
  <c r="E16" i="1"/>
  <c r="J15" i="1"/>
  <c r="K13" i="1"/>
  <c r="E13" i="1"/>
  <c r="J12" i="1"/>
  <c r="K10" i="1"/>
  <c r="E10" i="1"/>
  <c r="J9" i="1"/>
  <c r="K7" i="1"/>
  <c r="E7" i="1"/>
  <c r="K4" i="1"/>
  <c r="E4" i="1"/>
  <c r="J3" i="1"/>
  <c r="D3" i="1"/>
  <c r="J43" i="1" l="1"/>
  <c r="D43" i="1"/>
  <c r="D21" i="1"/>
  <c r="J21" i="1"/>
</calcChain>
</file>

<file path=xl/sharedStrings.xml><?xml version="1.0" encoding="utf-8"?>
<sst xmlns="http://schemas.openxmlformats.org/spreadsheetml/2006/main" count="44" uniqueCount="11">
  <si>
    <t>Day</t>
  </si>
  <si>
    <t>IN</t>
  </si>
  <si>
    <t>OUT</t>
  </si>
  <si>
    <t>TOTAL</t>
  </si>
  <si>
    <t>LUNCH</t>
  </si>
  <si>
    <t>Mon</t>
  </si>
  <si>
    <t>Tue</t>
  </si>
  <si>
    <t>Wed</t>
  </si>
  <si>
    <t>Thur</t>
  </si>
  <si>
    <t>Fri</t>
  </si>
  <si>
    <t xml:space="preserve">Total Hours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</si>
</sst>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h]:mm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6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 vertical="center"/>
    </xf>
    <xf numFmtId="20" fontId="0" fillId="3" borderId="2" xfId="0" applyNumberFormat="1" applyFill="1" applyBorder="1"/>
    <xf numFmtId="20" fontId="0" fillId="0" borderId="0" xfId="0" applyNumberFormat="1"/>
    <xf numFmtId="0" fontId="0" fillId="3" borderId="2" xfId="0" applyFill="1" applyBorder="1"/>
    <xf numFmtId="0" fontId="3" fillId="3" borderId="5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20" fontId="0" fillId="4" borderId="2" xfId="0" applyNumberFormat="1" applyFill="1" applyBorder="1"/>
    <xf numFmtId="165" fontId="0" fillId="0" borderId="0" xfId="0" applyNumberFormat="1"/>
    <xf numFmtId="0" fontId="0" fillId="4" borderId="2" xfId="0" applyFill="1" applyBorder="1"/>
    <xf numFmtId="0" fontId="3" fillId="4" borderId="5" xfId="0" applyFont="1" applyFill="1" applyBorder="1" applyAlignment="1">
      <alignment horizontal="center" vertical="center"/>
    </xf>
    <xf numFmtId="164" fontId="2" fillId="5" borderId="2" xfId="0" applyNumberFormat="1" applyFont="1" applyFill="1" applyBorder="1"/>
    <xf numFmtId="165" fontId="2" fillId="5" borderId="2" xfId="0" applyNumberFormat="1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62865</xdr:colOff>
      <xdr:row>20</xdr:row>
      <xdr:rowOff>57150</xdr:rowOff>
    </xdr:from>
    <xdr:to>
      <xdr:col>5</xdr:col>
      <xdr:colOff>224790</xdr:colOff>
      <xdr:row>20</xdr:row>
      <xdr:rowOff>154305</xdr:rowOff>
    </xdr:to>
    <xdr:pic>
      <xdr:nvPicPr>
        <xdr:cNvPr id="2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62D0A708-EDFB-4F87-B49B-236A2D08D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5290" y="3867150"/>
          <a:ext cx="161925" cy="971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769620</xdr:colOff>
      <xdr:row>0</xdr:row>
      <xdr:rowOff>0</xdr:rowOff>
    </xdr:from>
    <xdr:to>
      <xdr:col>2</xdr:col>
      <xdr:colOff>948690</xdr:colOff>
      <xdr:row>0</xdr:row>
      <xdr:rowOff>110490</xdr:rowOff>
    </xdr:to>
    <xdr:pic>
      <xdr:nvPicPr>
        <xdr:cNvPr id="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89C16407-75CE-4430-BAD1-80BB5FCA5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7907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</xdr:colOff>
      <xdr:row>0</xdr:row>
      <xdr:rowOff>0</xdr:rowOff>
    </xdr:from>
    <xdr:to>
      <xdr:col>3</xdr:col>
      <xdr:colOff>186690</xdr:colOff>
      <xdr:row>0</xdr:row>
      <xdr:rowOff>110490</xdr:rowOff>
    </xdr:to>
    <xdr:pic>
      <xdr:nvPicPr>
        <xdr:cNvPr id="4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3607F5A1-B07B-4802-B557-E0F049A5C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0"/>
          <a:ext cx="158115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0</xdr:row>
      <xdr:rowOff>0</xdr:rowOff>
    </xdr:from>
    <xdr:to>
      <xdr:col>4</xdr:col>
      <xdr:colOff>339090</xdr:colOff>
      <xdr:row>0</xdr:row>
      <xdr:rowOff>80010</xdr:rowOff>
    </xdr:to>
    <xdr:pic>
      <xdr:nvPicPr>
        <xdr:cNvPr id="5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926ABE2B-6A95-47A8-BB94-2153D3C86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0"/>
          <a:ext cx="177165" cy="80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739140</xdr:colOff>
      <xdr:row>0</xdr:row>
      <xdr:rowOff>0</xdr:rowOff>
    </xdr:from>
    <xdr:to>
      <xdr:col>2</xdr:col>
      <xdr:colOff>910590</xdr:colOff>
      <xdr:row>0</xdr:row>
      <xdr:rowOff>80010</xdr:rowOff>
    </xdr:to>
    <xdr:pic>
      <xdr:nvPicPr>
        <xdr:cNvPr id="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7A220A2-6546-4EF9-9967-5591BE04B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71450" cy="80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110490</xdr:rowOff>
    </xdr:to>
    <xdr:pic>
      <xdr:nvPicPr>
        <xdr:cNvPr id="7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B51B3F7E-A5E6-489B-93E0-7EB39E5AE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0"/>
          <a:ext cx="15240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</xdr:colOff>
      <xdr:row>0</xdr:row>
      <xdr:rowOff>110490</xdr:rowOff>
    </xdr:to>
    <xdr:pic>
      <xdr:nvPicPr>
        <xdr:cNvPr id="8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8241D7E7-C888-447D-9FFC-D837646CA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5240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</xdr:colOff>
      <xdr:row>0</xdr:row>
      <xdr:rowOff>110490</xdr:rowOff>
    </xdr:to>
    <xdr:pic>
      <xdr:nvPicPr>
        <xdr:cNvPr id="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891A2AC2-DC54-4C98-A4B2-13CC18858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5240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</xdr:colOff>
      <xdr:row>0</xdr:row>
      <xdr:rowOff>110490</xdr:rowOff>
    </xdr:to>
    <xdr:pic>
      <xdr:nvPicPr>
        <xdr:cNvPr id="10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A88C0D66-13DE-4CCB-BEE1-42F8904F0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5240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152400</xdr:colOff>
      <xdr:row>1</xdr:row>
      <xdr:rowOff>110490</xdr:rowOff>
    </xdr:to>
    <xdr:pic>
      <xdr:nvPicPr>
        <xdr:cNvPr id="11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25E7A7E9-9AA6-4C3B-8992-DEC478976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190500"/>
          <a:ext cx="15240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110490</xdr:rowOff>
    </xdr:to>
    <xdr:pic>
      <xdr:nvPicPr>
        <xdr:cNvPr id="1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83BA6ECA-A246-4A77-B58B-0A32F8661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381000"/>
          <a:ext cx="15240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152400</xdr:colOff>
      <xdr:row>3</xdr:row>
      <xdr:rowOff>110490</xdr:rowOff>
    </xdr:to>
    <xdr:pic>
      <xdr:nvPicPr>
        <xdr:cNvPr id="13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658253AE-6D3C-4BC5-BDAC-F86DFF524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571500"/>
          <a:ext cx="15240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152400</xdr:colOff>
      <xdr:row>5</xdr:row>
      <xdr:rowOff>110490</xdr:rowOff>
    </xdr:to>
    <xdr:pic>
      <xdr:nvPicPr>
        <xdr:cNvPr id="14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5D50A889-C730-47AD-8FD4-B8C2199EF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952500"/>
          <a:ext cx="15240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9525</xdr:rowOff>
    </xdr:from>
    <xdr:to>
      <xdr:col>6</xdr:col>
      <xdr:colOff>152400</xdr:colOff>
      <xdr:row>8</xdr:row>
      <xdr:rowOff>110490</xdr:rowOff>
    </xdr:to>
    <xdr:pic>
      <xdr:nvPicPr>
        <xdr:cNvPr id="1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AD6B22F2-95E9-4291-B8C4-C2D85C77A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1533525"/>
          <a:ext cx="152400" cy="100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152400</xdr:colOff>
      <xdr:row>8</xdr:row>
      <xdr:rowOff>110490</xdr:rowOff>
    </xdr:to>
    <xdr:pic>
      <xdr:nvPicPr>
        <xdr:cNvPr id="16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9F890A22-AA26-4728-BF59-60E944CA3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1524000"/>
          <a:ext cx="15240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</xdr:colOff>
      <xdr:row>0</xdr:row>
      <xdr:rowOff>110490</xdr:rowOff>
    </xdr:to>
    <xdr:pic>
      <xdr:nvPicPr>
        <xdr:cNvPr id="17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2542BAEA-0565-42D1-BD9B-D55AD1157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5240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1002030</xdr:colOff>
      <xdr:row>0</xdr:row>
      <xdr:rowOff>0</xdr:rowOff>
    </xdr:from>
    <xdr:ext cx="152400" cy="99060"/>
    <xdr:pic>
      <xdr:nvPicPr>
        <xdr:cNvPr id="1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D7F6EF8-EB69-4079-B69A-9B43F94E4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9405" y="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104775</xdr:colOff>
      <xdr:row>18</xdr:row>
      <xdr:rowOff>118110</xdr:rowOff>
    </xdr:from>
    <xdr:ext cx="163830" cy="110490"/>
    <xdr:pic>
      <xdr:nvPicPr>
        <xdr:cNvPr id="1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C08E846C-6FD1-464B-9369-E761A6735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54711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</xdr:row>
      <xdr:rowOff>66675</xdr:rowOff>
    </xdr:from>
    <xdr:ext cx="140970" cy="100965"/>
    <xdr:pic>
      <xdr:nvPicPr>
        <xdr:cNvPr id="20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85F4FBF6-EC63-4500-B185-EF2EDCF55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1781175"/>
          <a:ext cx="140970" cy="100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</xdr:row>
      <xdr:rowOff>0</xdr:rowOff>
    </xdr:from>
    <xdr:ext cx="152400" cy="91440"/>
    <xdr:pic>
      <xdr:nvPicPr>
        <xdr:cNvPr id="21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51887C46-2ECC-4223-948A-202502B99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1143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</xdr:row>
      <xdr:rowOff>45720</xdr:rowOff>
    </xdr:from>
    <xdr:ext cx="152400" cy="89535"/>
    <xdr:pic>
      <xdr:nvPicPr>
        <xdr:cNvPr id="2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50701ADC-1A94-4955-A0DC-A19344FFE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99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</xdr:row>
      <xdr:rowOff>0</xdr:rowOff>
    </xdr:from>
    <xdr:ext cx="152400" cy="91440"/>
    <xdr:pic>
      <xdr:nvPicPr>
        <xdr:cNvPr id="23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39BE3904-1C21-4FC9-8741-D87CE7696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1714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0</xdr:rowOff>
    </xdr:from>
    <xdr:ext cx="152400" cy="91440"/>
    <xdr:pic>
      <xdr:nvPicPr>
        <xdr:cNvPr id="24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5AE287A3-8B87-4F2E-82C7-69C032FCE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2286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12</xdr:row>
      <xdr:rowOff>60960</xdr:rowOff>
    </xdr:from>
    <xdr:ext cx="152400" cy="99060"/>
    <xdr:pic>
      <xdr:nvPicPr>
        <xdr:cNvPr id="2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AA5810D-DCDD-46E8-8234-3F0C68665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234696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2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C9B6C791-7766-47FE-88E7-D64CC8343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2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0B0201F-0FE7-4488-BFC6-1892CC3C5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2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22161303-A508-43B0-BA20-BB9F4D75F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2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B94BCA7C-6FA7-49AA-A309-28C88BA9D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3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D1133A1D-88B7-4605-AD2A-641655B9F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3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2ED2FB4C-F6BC-47E1-804A-738019D81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17</xdr:row>
      <xdr:rowOff>60960</xdr:rowOff>
    </xdr:from>
    <xdr:ext cx="163830" cy="110490"/>
    <xdr:pic>
      <xdr:nvPicPr>
        <xdr:cNvPr id="3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4222EC7-89CC-4AB5-B7E6-15FED72EC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3299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28575</xdr:colOff>
      <xdr:row>9</xdr:row>
      <xdr:rowOff>66675</xdr:rowOff>
    </xdr:from>
    <xdr:ext cx="140970" cy="100965"/>
    <xdr:pic>
      <xdr:nvPicPr>
        <xdr:cNvPr id="33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6B04FEDF-3E1A-4195-9EFF-BECBB9DE3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1781175"/>
          <a:ext cx="140970" cy="100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171450</xdr:colOff>
      <xdr:row>6</xdr:row>
      <xdr:rowOff>152400</xdr:rowOff>
    </xdr:from>
    <xdr:ext cx="152400" cy="91440"/>
    <xdr:pic>
      <xdr:nvPicPr>
        <xdr:cNvPr id="34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23457000-1AF8-4D0D-A114-A5A6B6BC0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2954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5</xdr:row>
      <xdr:rowOff>45720</xdr:rowOff>
    </xdr:from>
    <xdr:ext cx="152400" cy="89535"/>
    <xdr:pic>
      <xdr:nvPicPr>
        <xdr:cNvPr id="3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BA26A883-2BDE-4580-BB75-6766B7566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99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9</xdr:row>
      <xdr:rowOff>0</xdr:rowOff>
    </xdr:from>
    <xdr:ext cx="152400" cy="91440"/>
    <xdr:pic>
      <xdr:nvPicPr>
        <xdr:cNvPr id="36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7249A11E-FEEB-4A44-97A4-2DAD4032B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1714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12</xdr:row>
      <xdr:rowOff>0</xdr:rowOff>
    </xdr:from>
    <xdr:ext cx="152400" cy="91440"/>
    <xdr:pic>
      <xdr:nvPicPr>
        <xdr:cNvPr id="37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4AF9D4E1-26B5-4D57-889D-3315CB0FE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2286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1002030</xdr:colOff>
      <xdr:row>12</xdr:row>
      <xdr:rowOff>60960</xdr:rowOff>
    </xdr:from>
    <xdr:ext cx="152400" cy="99060"/>
    <xdr:pic>
      <xdr:nvPicPr>
        <xdr:cNvPr id="3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797EEA9-B413-4A61-B608-61B701FCF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7055" y="234696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19</xdr:row>
      <xdr:rowOff>60960</xdr:rowOff>
    </xdr:from>
    <xdr:ext cx="163830" cy="110490"/>
    <xdr:pic>
      <xdr:nvPicPr>
        <xdr:cNvPr id="3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F9007E84-30C6-49E5-992A-929504445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3680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17</xdr:row>
      <xdr:rowOff>45720</xdr:rowOff>
    </xdr:from>
    <xdr:ext cx="152400" cy="89535"/>
    <xdr:pic>
      <xdr:nvPicPr>
        <xdr:cNvPr id="4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FA079C84-3C79-4A3D-A3D1-F4BFE45B9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3284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2</xdr:row>
      <xdr:rowOff>60960</xdr:rowOff>
    </xdr:from>
    <xdr:ext cx="163830" cy="110490"/>
    <xdr:pic>
      <xdr:nvPicPr>
        <xdr:cNvPr id="4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CE19F1F-B30D-494E-B6C5-714EA4816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441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</xdr:row>
      <xdr:rowOff>45720</xdr:rowOff>
    </xdr:from>
    <xdr:ext cx="152400" cy="89535"/>
    <xdr:pic>
      <xdr:nvPicPr>
        <xdr:cNvPr id="4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03B0363-AA38-4335-92CF-E6ED0B804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426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3</xdr:row>
      <xdr:rowOff>60960</xdr:rowOff>
    </xdr:from>
    <xdr:ext cx="163830" cy="110490"/>
    <xdr:pic>
      <xdr:nvPicPr>
        <xdr:cNvPr id="4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F3E6756A-FD6E-4E90-A3E4-DAF5A30BA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3</xdr:row>
      <xdr:rowOff>45720</xdr:rowOff>
    </xdr:from>
    <xdr:ext cx="152400" cy="89535"/>
    <xdr:pic>
      <xdr:nvPicPr>
        <xdr:cNvPr id="4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DFE7F46-473E-49AB-861D-53774D34A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62865</xdr:colOff>
      <xdr:row>37</xdr:row>
      <xdr:rowOff>57150</xdr:rowOff>
    </xdr:from>
    <xdr:ext cx="152400" cy="97155"/>
    <xdr:pic>
      <xdr:nvPicPr>
        <xdr:cNvPr id="45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C39A3889-CA1A-4BB8-A0E0-8E62EBEDF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5290" y="7105650"/>
          <a:ext cx="152400" cy="971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4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A4E7DFC8-315F-45E0-94BD-A95A6CC4D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28575</xdr:colOff>
      <xdr:row>0</xdr:row>
      <xdr:rowOff>0</xdr:rowOff>
    </xdr:from>
    <xdr:ext cx="140970" cy="100965"/>
    <xdr:pic>
      <xdr:nvPicPr>
        <xdr:cNvPr id="47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BCCF51BA-A431-4AD6-BEE7-8C9DCF2C4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0"/>
          <a:ext cx="140970" cy="100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133350</xdr:colOff>
      <xdr:row>0</xdr:row>
      <xdr:rowOff>0</xdr:rowOff>
    </xdr:from>
    <xdr:ext cx="152400" cy="91440"/>
    <xdr:pic>
      <xdr:nvPicPr>
        <xdr:cNvPr id="48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C7BD4BC3-2B1F-4E72-A9AF-6FFF760AC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8025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4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14CE2017-7419-45A5-9772-2F2E96F43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0</xdr:row>
      <xdr:rowOff>0</xdr:rowOff>
    </xdr:from>
    <xdr:ext cx="152400" cy="91440"/>
    <xdr:pic>
      <xdr:nvPicPr>
        <xdr:cNvPr id="50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F6CA30FF-553F-4AB5-9EFF-E78E5909D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152400" cy="91440"/>
    <xdr:pic>
      <xdr:nvPicPr>
        <xdr:cNvPr id="51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7A38E83F-C47B-480E-A246-8D4D524C6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381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152400" cy="91440"/>
    <xdr:pic>
      <xdr:nvPicPr>
        <xdr:cNvPr id="5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ACEF1DF3-3EE3-435B-94DE-210A323C8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381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152400" cy="91440"/>
    <xdr:pic>
      <xdr:nvPicPr>
        <xdr:cNvPr id="53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41A100DF-A7A6-4243-B44B-997F885B2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381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152400" cy="91440"/>
    <xdr:pic>
      <xdr:nvPicPr>
        <xdr:cNvPr id="54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9280F8B5-0DE5-41FB-81EA-C60783522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381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152400" cy="91440"/>
    <xdr:pic>
      <xdr:nvPicPr>
        <xdr:cNvPr id="5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3765A57A-3D70-4A0D-86CB-4A4181320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381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152400" cy="91440"/>
    <xdr:pic>
      <xdr:nvPicPr>
        <xdr:cNvPr id="56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9C8B6220-BB25-46E0-8DDD-9D931DEED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381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52400" cy="91440"/>
    <xdr:pic>
      <xdr:nvPicPr>
        <xdr:cNvPr id="57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ABF0336E-FB1D-42B0-8643-1915D3885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840105</xdr:colOff>
      <xdr:row>0</xdr:row>
      <xdr:rowOff>0</xdr:rowOff>
    </xdr:from>
    <xdr:ext cx="152400" cy="99060"/>
    <xdr:pic>
      <xdr:nvPicPr>
        <xdr:cNvPr id="5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7CD7D77-4E3E-4D80-9CF4-6A086A97B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705" y="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163830" cy="110490"/>
    <xdr:pic>
      <xdr:nvPicPr>
        <xdr:cNvPr id="5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82786579-47E1-4881-ACA9-B51623B23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3815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140970" cy="100965"/>
    <xdr:pic>
      <xdr:nvPicPr>
        <xdr:cNvPr id="60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4C5C2290-FFA2-4958-8613-50D5C94CB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381500"/>
          <a:ext cx="140970" cy="100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152400" cy="91440"/>
    <xdr:pic>
      <xdr:nvPicPr>
        <xdr:cNvPr id="61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325F29C2-2D67-4826-8D0A-5698B4889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381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152400" cy="89535"/>
    <xdr:pic>
      <xdr:nvPicPr>
        <xdr:cNvPr id="6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8FB5711-98F4-4BCC-823C-8F126127E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38150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152400" cy="91440"/>
    <xdr:pic>
      <xdr:nvPicPr>
        <xdr:cNvPr id="63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D91AE76F-F830-4FE8-A977-E3382C0C2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381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152400" cy="91440"/>
    <xdr:pic>
      <xdr:nvPicPr>
        <xdr:cNvPr id="64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668F6825-13C4-4E14-A282-BA8D8C8E5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381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152400" cy="99060"/>
    <xdr:pic>
      <xdr:nvPicPr>
        <xdr:cNvPr id="6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50B67A95-DB23-4B3D-A859-8028F7893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38150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6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DB2F817B-D779-48C5-82D8-3CB8BCFC8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6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FACC2B9-C2C6-42BE-A8D4-55EAF5A43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6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DD4D4B92-5AD2-43A7-94C6-7B35338F3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6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10930DA0-F6AF-4058-8DB1-519A2AC7C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7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C72DCF5A-13FC-429E-AAFD-96A08088D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7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4CF706F-A6F9-43A2-A577-3E628F36E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23</xdr:row>
      <xdr:rowOff>0</xdr:rowOff>
    </xdr:from>
    <xdr:ext cx="163830" cy="110490"/>
    <xdr:pic>
      <xdr:nvPicPr>
        <xdr:cNvPr id="7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C0A63135-5BB7-47D7-9CE9-93AC532C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43815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28575</xdr:colOff>
      <xdr:row>23</xdr:row>
      <xdr:rowOff>0</xdr:rowOff>
    </xdr:from>
    <xdr:ext cx="140970" cy="100965"/>
    <xdr:pic>
      <xdr:nvPicPr>
        <xdr:cNvPr id="73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2E613BD4-39C0-4F46-B55A-E2B422A5C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4381500"/>
          <a:ext cx="140970" cy="100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142875</xdr:colOff>
      <xdr:row>23</xdr:row>
      <xdr:rowOff>0</xdr:rowOff>
    </xdr:from>
    <xdr:ext cx="152400" cy="91440"/>
    <xdr:pic>
      <xdr:nvPicPr>
        <xdr:cNvPr id="74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A86B9A07-71C1-484F-96D2-0B2B039C2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4381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23</xdr:row>
      <xdr:rowOff>0</xdr:rowOff>
    </xdr:from>
    <xdr:ext cx="152400" cy="89535"/>
    <xdr:pic>
      <xdr:nvPicPr>
        <xdr:cNvPr id="7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B9AF1127-8DEE-4C52-80ED-AC142A69E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438150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23</xdr:row>
      <xdr:rowOff>0</xdr:rowOff>
    </xdr:from>
    <xdr:ext cx="152400" cy="91440"/>
    <xdr:pic>
      <xdr:nvPicPr>
        <xdr:cNvPr id="76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34650EFC-AE7A-4D76-85CD-78D992BB9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4381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23</xdr:row>
      <xdr:rowOff>0</xdr:rowOff>
    </xdr:from>
    <xdr:ext cx="152400" cy="91440"/>
    <xdr:pic>
      <xdr:nvPicPr>
        <xdr:cNvPr id="77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9EB5B6F0-6305-4B5C-AAC4-5281DDD95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4381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1002030</xdr:colOff>
      <xdr:row>23</xdr:row>
      <xdr:rowOff>0</xdr:rowOff>
    </xdr:from>
    <xdr:ext cx="152400" cy="99060"/>
    <xdr:pic>
      <xdr:nvPicPr>
        <xdr:cNvPr id="7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39424E2A-FB47-4C38-B334-E56112FC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7055" y="438150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23</xdr:row>
      <xdr:rowOff>0</xdr:rowOff>
    </xdr:from>
    <xdr:ext cx="163830" cy="110490"/>
    <xdr:pic>
      <xdr:nvPicPr>
        <xdr:cNvPr id="7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4A1D0288-F869-456F-B0AB-A3EC5B75D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43815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23</xdr:row>
      <xdr:rowOff>0</xdr:rowOff>
    </xdr:from>
    <xdr:ext cx="152400" cy="89535"/>
    <xdr:pic>
      <xdr:nvPicPr>
        <xdr:cNvPr id="8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2E61D8C5-6996-4CCC-9ABB-91E38A6A4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438150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23</xdr:row>
      <xdr:rowOff>0</xdr:rowOff>
    </xdr:from>
    <xdr:ext cx="163830" cy="110490"/>
    <xdr:pic>
      <xdr:nvPicPr>
        <xdr:cNvPr id="8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7C79823B-C3C9-4002-828B-085010D7B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43815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23</xdr:row>
      <xdr:rowOff>0</xdr:rowOff>
    </xdr:from>
    <xdr:ext cx="152400" cy="89535"/>
    <xdr:pic>
      <xdr:nvPicPr>
        <xdr:cNvPr id="8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691CA659-1B93-4BC6-B0BA-AA76B279B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438150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23</xdr:row>
      <xdr:rowOff>0</xdr:rowOff>
    </xdr:from>
    <xdr:ext cx="163830" cy="110490"/>
    <xdr:pic>
      <xdr:nvPicPr>
        <xdr:cNvPr id="8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E54EBE0-9FDF-42DA-B3DC-ACD3ABF18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43815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23</xdr:row>
      <xdr:rowOff>0</xdr:rowOff>
    </xdr:from>
    <xdr:ext cx="152400" cy="89535"/>
    <xdr:pic>
      <xdr:nvPicPr>
        <xdr:cNvPr id="8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5A278517-E0CF-4E2B-8396-F6F4E2AF3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438150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8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C45B8D99-CDE3-471C-9606-596F00384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8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B676CBC0-18A2-4FBE-BA5F-1FBE9226F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8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79AEF71-517A-4B79-B6A4-D8A33AA3F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8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F850DDC0-06CB-4083-B7FE-D577859CE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8</xdr:row>
      <xdr:rowOff>60960</xdr:rowOff>
    </xdr:from>
    <xdr:ext cx="163830" cy="110490"/>
    <xdr:pic>
      <xdr:nvPicPr>
        <xdr:cNvPr id="8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FD5A185-3C2D-48C4-A33E-CCFDA2329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1584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8</xdr:row>
      <xdr:rowOff>45720</xdr:rowOff>
    </xdr:from>
    <xdr:ext cx="152400" cy="89535"/>
    <xdr:pic>
      <xdr:nvPicPr>
        <xdr:cNvPr id="9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1DA9055-D2E7-46F9-A789-F50143450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1569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9</xdr:row>
      <xdr:rowOff>60960</xdr:rowOff>
    </xdr:from>
    <xdr:ext cx="163830" cy="110490"/>
    <xdr:pic>
      <xdr:nvPicPr>
        <xdr:cNvPr id="9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DAE4E5E9-8BEA-4DC5-B9F5-D076FF25C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1775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9</xdr:row>
      <xdr:rowOff>45720</xdr:rowOff>
    </xdr:from>
    <xdr:ext cx="152400" cy="89535"/>
    <xdr:pic>
      <xdr:nvPicPr>
        <xdr:cNvPr id="9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A529187-7C25-4B20-9684-CF43FB8B6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1760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19</xdr:row>
      <xdr:rowOff>60960</xdr:rowOff>
    </xdr:from>
    <xdr:ext cx="163830" cy="110490"/>
    <xdr:pic>
      <xdr:nvPicPr>
        <xdr:cNvPr id="9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20754F27-F69B-4BC6-8AD1-0E73AFBFC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3680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19</xdr:row>
      <xdr:rowOff>45720</xdr:rowOff>
    </xdr:from>
    <xdr:ext cx="152400" cy="89535"/>
    <xdr:pic>
      <xdr:nvPicPr>
        <xdr:cNvPr id="9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995B530-FA9F-4C8E-A583-8038C279F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3665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19</xdr:row>
      <xdr:rowOff>60960</xdr:rowOff>
    </xdr:from>
    <xdr:ext cx="163830" cy="110490"/>
    <xdr:pic>
      <xdr:nvPicPr>
        <xdr:cNvPr id="9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FC9D177-31BD-4E25-BFAA-812A33450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3680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19</xdr:row>
      <xdr:rowOff>45720</xdr:rowOff>
    </xdr:from>
    <xdr:ext cx="152400" cy="89535"/>
    <xdr:pic>
      <xdr:nvPicPr>
        <xdr:cNvPr id="9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34F7B71-09D5-4979-8378-C3DE0F5B4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3665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9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83922050-B921-4D6D-81D7-DE35C2FA9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9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68B531CF-CC23-42A5-94F8-FF121FCC9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9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4B99C31-309B-4737-AB12-D8176F405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10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A4B5F8B1-B6B1-4A7B-BF83-1090C7B60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10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7FC66DB9-36FA-4BAC-B35D-F54FFF713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10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47AB132-27E9-4794-911A-1484E0180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10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7F99B99-E109-4034-88FD-B3D791112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10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719BFC5-26EF-4081-A545-8F9E047EA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10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2B3D37AA-9C9E-42B0-ACDE-BFD81D1A4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10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1D8BAF68-EBA2-4F88-9668-732E2CD7B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10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E34F64D-E582-4468-97F4-FA346AE9F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10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FBD74C0-7F55-470C-8E0B-45DAD4923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10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01273A68-3C9F-4EED-99BC-F34F31C2F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11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36717C5-1BAE-4680-B207-387096049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11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0E090B7C-C2D3-4CD1-9C84-C249A043E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11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6DB7CAFF-DBFA-45C6-86D2-227D38B86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11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9AB9FF7-3BF8-4005-995F-BA08A0097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11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0690DAA-B852-4523-9CF6-E8C8F24B5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0</xdr:row>
      <xdr:rowOff>0</xdr:rowOff>
    </xdr:from>
    <xdr:ext cx="163830" cy="110490"/>
    <xdr:pic>
      <xdr:nvPicPr>
        <xdr:cNvPr id="11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8D2CED40-074B-461A-A62E-B158B9CEA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0</xdr:row>
      <xdr:rowOff>0</xdr:rowOff>
    </xdr:from>
    <xdr:ext cx="152400" cy="89535"/>
    <xdr:pic>
      <xdr:nvPicPr>
        <xdr:cNvPr id="11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16CB30A5-4858-440C-A96C-7B0801493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</xdr:row>
      <xdr:rowOff>60960</xdr:rowOff>
    </xdr:from>
    <xdr:ext cx="163830" cy="110490"/>
    <xdr:pic>
      <xdr:nvPicPr>
        <xdr:cNvPr id="11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6AC2313-0AA2-4CCF-A3B5-EE9564FA1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3550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</xdr:row>
      <xdr:rowOff>45720</xdr:rowOff>
    </xdr:from>
    <xdr:ext cx="152400" cy="89535"/>
    <xdr:pic>
      <xdr:nvPicPr>
        <xdr:cNvPr id="11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D08D17E-2988-43DE-8E5F-33D74EB7E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3550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3</xdr:row>
      <xdr:rowOff>60960</xdr:rowOff>
    </xdr:from>
    <xdr:ext cx="163830" cy="110490"/>
    <xdr:pic>
      <xdr:nvPicPr>
        <xdr:cNvPr id="11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F44B7F29-F698-4C91-8788-FD4741D5E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3</xdr:row>
      <xdr:rowOff>45720</xdr:rowOff>
    </xdr:from>
    <xdr:ext cx="152400" cy="89535"/>
    <xdr:pic>
      <xdr:nvPicPr>
        <xdr:cNvPr id="12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BEAD22C-C159-4E21-957B-2C349D38B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2</xdr:row>
      <xdr:rowOff>60960</xdr:rowOff>
    </xdr:from>
    <xdr:ext cx="163830" cy="110490"/>
    <xdr:pic>
      <xdr:nvPicPr>
        <xdr:cNvPr id="12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4B8DD07-BB52-4109-A671-CE0912A17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441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</xdr:row>
      <xdr:rowOff>45720</xdr:rowOff>
    </xdr:from>
    <xdr:ext cx="152400" cy="89535"/>
    <xdr:pic>
      <xdr:nvPicPr>
        <xdr:cNvPr id="12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B7BA66C3-A100-46A4-96C4-88DAF42A1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426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769620</xdr:colOff>
      <xdr:row>3</xdr:row>
      <xdr:rowOff>60960</xdr:rowOff>
    </xdr:from>
    <xdr:ext cx="163830" cy="110490"/>
    <xdr:pic>
      <xdr:nvPicPr>
        <xdr:cNvPr id="12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73E2B556-5F3D-423F-9278-ADA53B6F3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1720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739140</xdr:colOff>
      <xdr:row>3</xdr:row>
      <xdr:rowOff>45720</xdr:rowOff>
    </xdr:from>
    <xdr:ext cx="152400" cy="89535"/>
    <xdr:pic>
      <xdr:nvPicPr>
        <xdr:cNvPr id="12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3FF4E800-950E-4A54-BEE1-79C0872BD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0765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769620</xdr:colOff>
      <xdr:row>3</xdr:row>
      <xdr:rowOff>60960</xdr:rowOff>
    </xdr:from>
    <xdr:ext cx="163830" cy="110490"/>
    <xdr:pic>
      <xdr:nvPicPr>
        <xdr:cNvPr id="12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60F2D0F-30CC-41A8-8A61-707FECDD8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1720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739140</xdr:colOff>
      <xdr:row>3</xdr:row>
      <xdr:rowOff>45720</xdr:rowOff>
    </xdr:from>
    <xdr:ext cx="152400" cy="89535"/>
    <xdr:pic>
      <xdr:nvPicPr>
        <xdr:cNvPr id="12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293C670-D17E-46AA-AE43-A1CD17FB1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0765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3</xdr:row>
      <xdr:rowOff>60960</xdr:rowOff>
    </xdr:from>
    <xdr:ext cx="163830" cy="110490"/>
    <xdr:pic>
      <xdr:nvPicPr>
        <xdr:cNvPr id="12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20EB1596-8F3F-47A0-A3A3-D512976A0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3</xdr:row>
      <xdr:rowOff>45720</xdr:rowOff>
    </xdr:from>
    <xdr:ext cx="152400" cy="89535"/>
    <xdr:pic>
      <xdr:nvPicPr>
        <xdr:cNvPr id="12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F3BA157-7569-4801-B7CA-DFCC49BD2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3</xdr:row>
      <xdr:rowOff>60960</xdr:rowOff>
    </xdr:from>
    <xdr:ext cx="163830" cy="110490"/>
    <xdr:pic>
      <xdr:nvPicPr>
        <xdr:cNvPr id="12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04CD2DC-6E1C-4023-9B6D-F281F7FC5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3</xdr:row>
      <xdr:rowOff>45720</xdr:rowOff>
    </xdr:from>
    <xdr:ext cx="152400" cy="89535"/>
    <xdr:pic>
      <xdr:nvPicPr>
        <xdr:cNvPr id="13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FEB854E-4EB4-4902-A9DD-FEA110ECA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52400" cy="91440"/>
    <xdr:pic>
      <xdr:nvPicPr>
        <xdr:cNvPr id="131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772C17F6-0549-41CD-93BD-6C95BFD87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0</xdr:row>
      <xdr:rowOff>0</xdr:rowOff>
    </xdr:from>
    <xdr:ext cx="152400" cy="91440"/>
    <xdr:pic>
      <xdr:nvPicPr>
        <xdr:cNvPr id="13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E1A24A4-FDF0-4C6A-8EF4-EA99D0907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0</xdr:row>
      <xdr:rowOff>0</xdr:rowOff>
    </xdr:from>
    <xdr:ext cx="152400" cy="91440"/>
    <xdr:pic>
      <xdr:nvPicPr>
        <xdr:cNvPr id="13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8214C0E4-BBE4-4892-9498-E80E01663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52400" cy="91440"/>
    <xdr:pic>
      <xdr:nvPicPr>
        <xdr:cNvPr id="13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A1B8C23C-F609-4524-B796-41A13C5E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52400" cy="91440"/>
    <xdr:pic>
      <xdr:nvPicPr>
        <xdr:cNvPr id="13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230F49D-1C81-424A-968D-A767D2623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0</xdr:row>
      <xdr:rowOff>0</xdr:rowOff>
    </xdr:from>
    <xdr:ext cx="152400" cy="91440"/>
    <xdr:pic>
      <xdr:nvPicPr>
        <xdr:cNvPr id="13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EA03CDD4-592D-4DBD-B26E-C0114FFB4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0</xdr:row>
      <xdr:rowOff>0</xdr:rowOff>
    </xdr:from>
    <xdr:ext cx="152400" cy="91440"/>
    <xdr:pic>
      <xdr:nvPicPr>
        <xdr:cNvPr id="13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F1C05E8A-C61D-411C-8422-BBC266B0C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52400" cy="91440"/>
    <xdr:pic>
      <xdr:nvPicPr>
        <xdr:cNvPr id="13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7555EB9-DA1C-4C1B-B485-4D7D17944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52400" cy="91440"/>
    <xdr:pic>
      <xdr:nvPicPr>
        <xdr:cNvPr id="13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2A0B97EF-D2C2-4116-9436-11D98D08F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52400" cy="91440"/>
    <xdr:pic>
      <xdr:nvPicPr>
        <xdr:cNvPr id="14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C2A7F40A-274A-43A5-8B99-8FA8D53A5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0</xdr:row>
      <xdr:rowOff>0</xdr:rowOff>
    </xdr:from>
    <xdr:ext cx="152400" cy="91440"/>
    <xdr:pic>
      <xdr:nvPicPr>
        <xdr:cNvPr id="14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1D4F4FE-B19B-4525-9E85-C2F68E262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0</xdr:row>
      <xdr:rowOff>0</xdr:rowOff>
    </xdr:from>
    <xdr:ext cx="152400" cy="91440"/>
    <xdr:pic>
      <xdr:nvPicPr>
        <xdr:cNvPr id="14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9959937-9DB0-4F26-BA85-F51D7A2E3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14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1176B91-A94F-4541-AB3D-B46A8C656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14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00C01A9-836E-489D-A26E-497FF86C9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14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026873EA-068A-45BF-84D5-FC4393532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14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30F412F0-1D82-42CA-B5FE-CD73538E5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769620</xdr:colOff>
      <xdr:row>23</xdr:row>
      <xdr:rowOff>0</xdr:rowOff>
    </xdr:from>
    <xdr:ext cx="163830" cy="110490"/>
    <xdr:pic>
      <xdr:nvPicPr>
        <xdr:cNvPr id="14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09E2853-4501-4100-B2E2-F19C6DFBA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1720" y="43815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739140</xdr:colOff>
      <xdr:row>23</xdr:row>
      <xdr:rowOff>0</xdr:rowOff>
    </xdr:from>
    <xdr:ext cx="152400" cy="89535"/>
    <xdr:pic>
      <xdr:nvPicPr>
        <xdr:cNvPr id="14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7C93CA7-6033-44BE-8C72-F3453F0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0765" y="438150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0</xdr:row>
      <xdr:rowOff>0</xdr:rowOff>
    </xdr:from>
    <xdr:ext cx="163830" cy="110490"/>
    <xdr:pic>
      <xdr:nvPicPr>
        <xdr:cNvPr id="14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A36372ED-30AD-4ABE-8FBF-DBE39AFD7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424815</xdr:colOff>
      <xdr:row>0</xdr:row>
      <xdr:rowOff>0</xdr:rowOff>
    </xdr:from>
    <xdr:ext cx="152400" cy="89535"/>
    <xdr:pic>
      <xdr:nvPicPr>
        <xdr:cNvPr id="15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0078D07-0C74-41F9-BD9C-F9C216E9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2190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52400" cy="91440"/>
    <xdr:pic>
      <xdr:nvPicPr>
        <xdr:cNvPr id="15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5427A76D-4439-4AFF-8D6D-774155555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15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A2595CA2-BC60-46AA-BA5A-F96E80C96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15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2383F2B-8B6D-4D85-87EB-4BE7B4711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0</xdr:row>
      <xdr:rowOff>0</xdr:rowOff>
    </xdr:from>
    <xdr:ext cx="152400" cy="91440"/>
    <xdr:pic>
      <xdr:nvPicPr>
        <xdr:cNvPr id="15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D1B852CE-7C84-4132-8581-3937E993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15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4355F67B-12E4-4368-9FCF-B0F73DE6C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0</xdr:row>
      <xdr:rowOff>0</xdr:rowOff>
    </xdr:from>
    <xdr:ext cx="152400" cy="91440"/>
    <xdr:pic>
      <xdr:nvPicPr>
        <xdr:cNvPr id="15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6563D115-3D66-446D-860F-D0114E2A8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15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AF76ED7-A7F1-4242-A41A-AEFF4752D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15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612222DF-660C-483D-AAB5-5517E29D4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15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C50625B5-D42C-423F-92A9-EB491CB3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710565</xdr:colOff>
      <xdr:row>0</xdr:row>
      <xdr:rowOff>0</xdr:rowOff>
    </xdr:from>
    <xdr:ext cx="152400" cy="89535"/>
    <xdr:pic>
      <xdr:nvPicPr>
        <xdr:cNvPr id="16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AFA57EA-EEBA-4D68-81AB-9432854E3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7940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0</xdr:row>
      <xdr:rowOff>0</xdr:rowOff>
    </xdr:from>
    <xdr:ext cx="163830" cy="110490"/>
    <xdr:pic>
      <xdr:nvPicPr>
        <xdr:cNvPr id="16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406367EB-4F75-4D81-8160-76AE9FAC8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0</xdr:row>
      <xdr:rowOff>0</xdr:rowOff>
    </xdr:from>
    <xdr:ext cx="152400" cy="89535"/>
    <xdr:pic>
      <xdr:nvPicPr>
        <xdr:cNvPr id="16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07C73C7-AACF-4B03-A9B3-EDF66440D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15</xdr:row>
      <xdr:rowOff>0</xdr:rowOff>
    </xdr:from>
    <xdr:ext cx="152400" cy="91440"/>
    <xdr:pic>
      <xdr:nvPicPr>
        <xdr:cNvPr id="163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A7B37AF9-0DF2-48A1-A830-C9F075593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2857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152400" cy="91440"/>
    <xdr:pic>
      <xdr:nvPicPr>
        <xdr:cNvPr id="164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8170F4C9-80B2-48AB-8140-907582800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247650</xdr:colOff>
      <xdr:row>19</xdr:row>
      <xdr:rowOff>0</xdr:rowOff>
    </xdr:from>
    <xdr:ext cx="152400" cy="91440"/>
    <xdr:pic>
      <xdr:nvPicPr>
        <xdr:cNvPr id="16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7D64B0C-C56E-491D-BFB3-7B2F5AC7B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3619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152400" cy="91440"/>
    <xdr:pic>
      <xdr:nvPicPr>
        <xdr:cNvPr id="166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01C6B75C-9ECC-4A87-8142-3C23271BD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52400" cy="91440"/>
    <xdr:pic>
      <xdr:nvPicPr>
        <xdr:cNvPr id="167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08360EFB-EC82-4905-9C4D-4DF0A1E0C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9525</xdr:rowOff>
    </xdr:from>
    <xdr:ext cx="152400" cy="91440"/>
    <xdr:pic>
      <xdr:nvPicPr>
        <xdr:cNvPr id="16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29D5249F-9645-4856-9265-9B80C3938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3525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52400" cy="91440"/>
    <xdr:pic>
      <xdr:nvPicPr>
        <xdr:cNvPr id="169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74F29720-48A7-45B3-A64B-2661959EE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60960</xdr:rowOff>
    </xdr:from>
    <xdr:ext cx="163830" cy="110490"/>
    <xdr:pic>
      <xdr:nvPicPr>
        <xdr:cNvPr id="17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CAA2F54-E848-4CF3-A881-343ACFA8C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0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66675</xdr:rowOff>
    </xdr:from>
    <xdr:ext cx="140970" cy="100965"/>
    <xdr:pic>
      <xdr:nvPicPr>
        <xdr:cNvPr id="171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2CCD4FFB-19C9-4E34-A105-504C57CA0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1175"/>
          <a:ext cx="140970" cy="100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152400" cy="91440"/>
    <xdr:pic>
      <xdr:nvPicPr>
        <xdr:cNvPr id="172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6E4BBE7D-C222-4A22-97E8-F62A09B32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45720</xdr:rowOff>
    </xdr:from>
    <xdr:ext cx="152400" cy="89535"/>
    <xdr:pic>
      <xdr:nvPicPr>
        <xdr:cNvPr id="17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21E55E7B-BE40-4EDE-8670-916D45195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0</xdr:rowOff>
    </xdr:from>
    <xdr:ext cx="152400" cy="91440"/>
    <xdr:pic>
      <xdr:nvPicPr>
        <xdr:cNvPr id="174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F352836F-0F82-4A8E-A11F-96BC541F2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52400" cy="91440"/>
    <xdr:pic>
      <xdr:nvPicPr>
        <xdr:cNvPr id="175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F2E8A0CE-304E-468D-B042-B270D87A1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60960</xdr:rowOff>
    </xdr:from>
    <xdr:ext cx="152400" cy="99060"/>
    <xdr:pic>
      <xdr:nvPicPr>
        <xdr:cNvPr id="17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4FBB604-3E07-4104-BB49-7BF486355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17</xdr:row>
      <xdr:rowOff>60960</xdr:rowOff>
    </xdr:from>
    <xdr:ext cx="163830" cy="110490"/>
    <xdr:pic>
      <xdr:nvPicPr>
        <xdr:cNvPr id="17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CC30AEB4-D538-4C79-B572-0CE99D4FE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3299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28575</xdr:colOff>
      <xdr:row>9</xdr:row>
      <xdr:rowOff>66675</xdr:rowOff>
    </xdr:from>
    <xdr:ext cx="140970" cy="100965"/>
    <xdr:pic>
      <xdr:nvPicPr>
        <xdr:cNvPr id="178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85768614-1227-467D-B9FB-8D091C2CB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1781175"/>
          <a:ext cx="140970" cy="100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171450</xdr:colOff>
      <xdr:row>6</xdr:row>
      <xdr:rowOff>152400</xdr:rowOff>
    </xdr:from>
    <xdr:ext cx="152400" cy="91440"/>
    <xdr:pic>
      <xdr:nvPicPr>
        <xdr:cNvPr id="179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0E3ABCC8-E4DC-4A5F-8D68-F07FC764F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" y="12954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5</xdr:row>
      <xdr:rowOff>45720</xdr:rowOff>
    </xdr:from>
    <xdr:ext cx="152400" cy="89535"/>
    <xdr:pic>
      <xdr:nvPicPr>
        <xdr:cNvPr id="18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DDB2CF6-B8F3-4A9F-B491-CF003AD4A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99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0</xdr:rowOff>
    </xdr:from>
    <xdr:ext cx="152400" cy="91440"/>
    <xdr:pic>
      <xdr:nvPicPr>
        <xdr:cNvPr id="181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794C0D59-8F7C-461D-AB72-D1D5E84E6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1714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152400" cy="91440"/>
    <xdr:pic>
      <xdr:nvPicPr>
        <xdr:cNvPr id="182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07B8A1A7-7186-4D22-BAD9-C9155A1D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1002030</xdr:colOff>
      <xdr:row>12</xdr:row>
      <xdr:rowOff>60960</xdr:rowOff>
    </xdr:from>
    <xdr:ext cx="152400" cy="99060"/>
    <xdr:pic>
      <xdr:nvPicPr>
        <xdr:cNvPr id="18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99B022C-AD52-4BD7-8DAD-0FA3D84F5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9405" y="234696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19</xdr:row>
      <xdr:rowOff>60960</xdr:rowOff>
    </xdr:from>
    <xdr:ext cx="163830" cy="110490"/>
    <xdr:pic>
      <xdr:nvPicPr>
        <xdr:cNvPr id="18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6C036F4D-48B9-4E7F-A4D6-ED73FFE04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3680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17</xdr:row>
      <xdr:rowOff>45720</xdr:rowOff>
    </xdr:from>
    <xdr:ext cx="152400" cy="89535"/>
    <xdr:pic>
      <xdr:nvPicPr>
        <xdr:cNvPr id="18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596C868-BA64-4526-8A2B-F779198F5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3284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</xdr:row>
      <xdr:rowOff>60960</xdr:rowOff>
    </xdr:from>
    <xdr:ext cx="163830" cy="110490"/>
    <xdr:pic>
      <xdr:nvPicPr>
        <xdr:cNvPr id="18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3034953-903C-44E1-8D40-44AEDEBA4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441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</xdr:row>
      <xdr:rowOff>45720</xdr:rowOff>
    </xdr:from>
    <xdr:ext cx="152400" cy="89535"/>
    <xdr:pic>
      <xdr:nvPicPr>
        <xdr:cNvPr id="18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5420FDC-C490-4D17-9E9A-03015BD62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426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</xdr:row>
      <xdr:rowOff>60960</xdr:rowOff>
    </xdr:from>
    <xdr:ext cx="163830" cy="110490"/>
    <xdr:pic>
      <xdr:nvPicPr>
        <xdr:cNvPr id="18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238F272E-44E2-46AC-9E13-C65190DEA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</xdr:row>
      <xdr:rowOff>45720</xdr:rowOff>
    </xdr:from>
    <xdr:ext cx="152400" cy="89535"/>
    <xdr:pic>
      <xdr:nvPicPr>
        <xdr:cNvPr id="18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F39D51C3-9429-4DD4-A5DE-CF26D435F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8</xdr:row>
      <xdr:rowOff>60960</xdr:rowOff>
    </xdr:from>
    <xdr:ext cx="163830" cy="110490"/>
    <xdr:pic>
      <xdr:nvPicPr>
        <xdr:cNvPr id="19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5E3441E7-264F-49BE-96E6-B217298C1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1584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8</xdr:row>
      <xdr:rowOff>45720</xdr:rowOff>
    </xdr:from>
    <xdr:ext cx="152400" cy="89535"/>
    <xdr:pic>
      <xdr:nvPicPr>
        <xdr:cNvPr id="19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D26D242-CDAE-41D8-AC10-4A967356E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1569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9</xdr:row>
      <xdr:rowOff>60960</xdr:rowOff>
    </xdr:from>
    <xdr:ext cx="163830" cy="110490"/>
    <xdr:pic>
      <xdr:nvPicPr>
        <xdr:cNvPr id="19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F6FE5632-C81D-4E83-8076-199518E77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1775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19</xdr:row>
      <xdr:rowOff>60960</xdr:rowOff>
    </xdr:from>
    <xdr:ext cx="163830" cy="110490"/>
    <xdr:pic>
      <xdr:nvPicPr>
        <xdr:cNvPr id="19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E274536-FFEA-4140-A334-0D7DE3640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3680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19</xdr:row>
      <xdr:rowOff>45720</xdr:rowOff>
    </xdr:from>
    <xdr:ext cx="152400" cy="89535"/>
    <xdr:pic>
      <xdr:nvPicPr>
        <xdr:cNvPr id="19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8CD1258-E49B-4AFD-BA94-D010A44EA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3665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19</xdr:row>
      <xdr:rowOff>60960</xdr:rowOff>
    </xdr:from>
    <xdr:ext cx="163830" cy="110490"/>
    <xdr:pic>
      <xdr:nvPicPr>
        <xdr:cNvPr id="19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79968376-A6D4-4EFC-B92C-26BAC9814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3680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19</xdr:row>
      <xdr:rowOff>45720</xdr:rowOff>
    </xdr:from>
    <xdr:ext cx="152400" cy="89535"/>
    <xdr:pic>
      <xdr:nvPicPr>
        <xdr:cNvPr id="19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6597042-548F-4FA4-90D8-237297B44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3665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</xdr:row>
      <xdr:rowOff>60960</xdr:rowOff>
    </xdr:from>
    <xdr:ext cx="163830" cy="110490"/>
    <xdr:pic>
      <xdr:nvPicPr>
        <xdr:cNvPr id="19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4D13B08A-DC29-42C6-A799-9F9A49D15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</xdr:row>
      <xdr:rowOff>45720</xdr:rowOff>
    </xdr:from>
    <xdr:ext cx="152400" cy="89535"/>
    <xdr:pic>
      <xdr:nvPicPr>
        <xdr:cNvPr id="19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65DB4BD-B408-4036-828B-5EECFBB58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</xdr:row>
      <xdr:rowOff>60960</xdr:rowOff>
    </xdr:from>
    <xdr:ext cx="163830" cy="110490"/>
    <xdr:pic>
      <xdr:nvPicPr>
        <xdr:cNvPr id="20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8E64FFB0-A09A-48DD-BA99-8BB9873B1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441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</xdr:row>
      <xdr:rowOff>45720</xdr:rowOff>
    </xdr:from>
    <xdr:ext cx="152400" cy="89535"/>
    <xdr:pic>
      <xdr:nvPicPr>
        <xdr:cNvPr id="20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0F5CF5F-8288-407C-BA0F-75E1725DC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426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3</xdr:row>
      <xdr:rowOff>60960</xdr:rowOff>
    </xdr:from>
    <xdr:ext cx="163830" cy="110490"/>
    <xdr:pic>
      <xdr:nvPicPr>
        <xdr:cNvPr id="20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8C2CAF4-A53C-44F5-B7BC-59B95E1CE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3</xdr:row>
      <xdr:rowOff>45720</xdr:rowOff>
    </xdr:from>
    <xdr:ext cx="152400" cy="89535"/>
    <xdr:pic>
      <xdr:nvPicPr>
        <xdr:cNvPr id="20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6C83C34-9100-4577-B77E-7AF96C36F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3</xdr:row>
      <xdr:rowOff>45720</xdr:rowOff>
    </xdr:from>
    <xdr:ext cx="152400" cy="89535"/>
    <xdr:pic>
      <xdr:nvPicPr>
        <xdr:cNvPr id="20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2BBE0C1-87DA-42DA-87F0-E9AD774D5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</xdr:row>
      <xdr:rowOff>60960</xdr:rowOff>
    </xdr:from>
    <xdr:ext cx="163830" cy="110490"/>
    <xdr:pic>
      <xdr:nvPicPr>
        <xdr:cNvPr id="20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5925CFDB-EFA6-4851-8D44-EC21440EC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</xdr:row>
      <xdr:rowOff>45720</xdr:rowOff>
    </xdr:from>
    <xdr:ext cx="152400" cy="89535"/>
    <xdr:pic>
      <xdr:nvPicPr>
        <xdr:cNvPr id="20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6044B4A-DDE6-4F6B-9FAB-4B1A6AF16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</xdr:row>
      <xdr:rowOff>60960</xdr:rowOff>
    </xdr:from>
    <xdr:ext cx="163830" cy="110490"/>
    <xdr:pic>
      <xdr:nvPicPr>
        <xdr:cNvPr id="20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A57B95E-A892-406B-A25D-27BD4BAAC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</xdr:row>
      <xdr:rowOff>45720</xdr:rowOff>
    </xdr:from>
    <xdr:ext cx="152400" cy="89535"/>
    <xdr:pic>
      <xdr:nvPicPr>
        <xdr:cNvPr id="20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2391A4B-CF5F-40E7-9366-531A4CF25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52400" cy="91440"/>
    <xdr:pic>
      <xdr:nvPicPr>
        <xdr:cNvPr id="210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DEBA68E3-1AD7-41D6-8AE8-0C98F3664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1002030</xdr:colOff>
      <xdr:row>15</xdr:row>
      <xdr:rowOff>60960</xdr:rowOff>
    </xdr:from>
    <xdr:ext cx="152400" cy="99060"/>
    <xdr:pic>
      <xdr:nvPicPr>
        <xdr:cNvPr id="21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B941EF5-8371-42E1-9B4B-875015609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9405" y="291846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52400" cy="91440"/>
    <xdr:pic>
      <xdr:nvPicPr>
        <xdr:cNvPr id="212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B9B4AF6A-2C74-4A9A-AE4B-AD77846F7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152400" cy="91440"/>
    <xdr:pic>
      <xdr:nvPicPr>
        <xdr:cNvPr id="213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F97662BB-31C7-4F12-A709-46618011D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381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247650</xdr:colOff>
      <xdr:row>41</xdr:row>
      <xdr:rowOff>0</xdr:rowOff>
    </xdr:from>
    <xdr:ext cx="152400" cy="91440"/>
    <xdr:pic>
      <xdr:nvPicPr>
        <xdr:cNvPr id="21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D23CBA71-0C28-447F-BA0D-B732287D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7810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25</xdr:row>
      <xdr:rowOff>0</xdr:rowOff>
    </xdr:from>
    <xdr:ext cx="152400" cy="91440"/>
    <xdr:pic>
      <xdr:nvPicPr>
        <xdr:cNvPr id="215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4416AF08-6633-49DF-9FF0-C631AB5A5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762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27</xdr:row>
      <xdr:rowOff>0</xdr:rowOff>
    </xdr:from>
    <xdr:ext cx="152400" cy="91440"/>
    <xdr:pic>
      <xdr:nvPicPr>
        <xdr:cNvPr id="216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49A1F99A-1445-497A-8342-BAF39E552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5143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9525</xdr:rowOff>
    </xdr:from>
    <xdr:ext cx="152400" cy="91440"/>
    <xdr:pic>
      <xdr:nvPicPr>
        <xdr:cNvPr id="21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36E99731-CD10-47CC-AC99-0ABCEE363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5724525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152400" cy="91440"/>
    <xdr:pic>
      <xdr:nvPicPr>
        <xdr:cNvPr id="218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3B52F357-4544-44BC-B197-B6582BD39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5715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41</xdr:row>
      <xdr:rowOff>60960</xdr:rowOff>
    </xdr:from>
    <xdr:ext cx="163830" cy="110490"/>
    <xdr:pic>
      <xdr:nvPicPr>
        <xdr:cNvPr id="21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4A4C7446-BDEB-4CDC-BBBE-D6C98C7B6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7871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31</xdr:row>
      <xdr:rowOff>66675</xdr:rowOff>
    </xdr:from>
    <xdr:ext cx="140970" cy="100965"/>
    <xdr:pic>
      <xdr:nvPicPr>
        <xdr:cNvPr id="220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347136DA-AA0B-4496-9663-F5E7A8AFD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5972175"/>
          <a:ext cx="140970" cy="100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28</xdr:row>
      <xdr:rowOff>0</xdr:rowOff>
    </xdr:from>
    <xdr:ext cx="152400" cy="91440"/>
    <xdr:pic>
      <xdr:nvPicPr>
        <xdr:cNvPr id="221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C5E49E26-7C21-414F-9C95-1E95AD244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5334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27</xdr:row>
      <xdr:rowOff>45720</xdr:rowOff>
    </xdr:from>
    <xdr:ext cx="152400" cy="89535"/>
    <xdr:pic>
      <xdr:nvPicPr>
        <xdr:cNvPr id="22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313927A1-1C03-4E60-807C-319AEE25C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5189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31</xdr:row>
      <xdr:rowOff>0</xdr:rowOff>
    </xdr:from>
    <xdr:ext cx="152400" cy="91440"/>
    <xdr:pic>
      <xdr:nvPicPr>
        <xdr:cNvPr id="223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06115247-881C-4778-A47C-28DD7AA0C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5905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34</xdr:row>
      <xdr:rowOff>0</xdr:rowOff>
    </xdr:from>
    <xdr:ext cx="152400" cy="91440"/>
    <xdr:pic>
      <xdr:nvPicPr>
        <xdr:cNvPr id="224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7601A263-2039-44E8-97F4-8BC220C76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6477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34</xdr:row>
      <xdr:rowOff>60960</xdr:rowOff>
    </xdr:from>
    <xdr:ext cx="152400" cy="99060"/>
    <xdr:pic>
      <xdr:nvPicPr>
        <xdr:cNvPr id="22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B8672F19-B624-4CB5-8D5D-E19FCF0E4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653796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39</xdr:row>
      <xdr:rowOff>60960</xdr:rowOff>
    </xdr:from>
    <xdr:ext cx="163830" cy="110490"/>
    <xdr:pic>
      <xdr:nvPicPr>
        <xdr:cNvPr id="22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C1204CE2-FCEF-4F16-8A57-E55DC694B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7490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28575</xdr:colOff>
      <xdr:row>31</xdr:row>
      <xdr:rowOff>66675</xdr:rowOff>
    </xdr:from>
    <xdr:ext cx="140970" cy="100965"/>
    <xdr:pic>
      <xdr:nvPicPr>
        <xdr:cNvPr id="227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2AF17308-1146-43D1-8DD9-BA6E13EDF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5972175"/>
          <a:ext cx="140970" cy="100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171450</xdr:colOff>
      <xdr:row>28</xdr:row>
      <xdr:rowOff>152400</xdr:rowOff>
    </xdr:from>
    <xdr:ext cx="152400" cy="91440"/>
    <xdr:pic>
      <xdr:nvPicPr>
        <xdr:cNvPr id="228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C1FD83A5-7D20-4A88-9F0C-847CA1875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54864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27</xdr:row>
      <xdr:rowOff>45720</xdr:rowOff>
    </xdr:from>
    <xdr:ext cx="152400" cy="89535"/>
    <xdr:pic>
      <xdr:nvPicPr>
        <xdr:cNvPr id="22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3867F733-310C-4E55-A00C-5B95B02C3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5189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31</xdr:row>
      <xdr:rowOff>0</xdr:rowOff>
    </xdr:from>
    <xdr:ext cx="152400" cy="91440"/>
    <xdr:pic>
      <xdr:nvPicPr>
        <xdr:cNvPr id="230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6A431576-AC50-4C0D-9BCA-33732B601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5905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34</xdr:row>
      <xdr:rowOff>0</xdr:rowOff>
    </xdr:from>
    <xdr:ext cx="152400" cy="91440"/>
    <xdr:pic>
      <xdr:nvPicPr>
        <xdr:cNvPr id="231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E9815856-9E3A-419D-9848-2AC91F48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6477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1002030</xdr:colOff>
      <xdr:row>34</xdr:row>
      <xdr:rowOff>60960</xdr:rowOff>
    </xdr:from>
    <xdr:ext cx="152400" cy="99060"/>
    <xdr:pic>
      <xdr:nvPicPr>
        <xdr:cNvPr id="23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5AA4B6B-A13D-4697-9661-7453DBD9F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7055" y="653796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41</xdr:row>
      <xdr:rowOff>60960</xdr:rowOff>
    </xdr:from>
    <xdr:ext cx="163830" cy="110490"/>
    <xdr:pic>
      <xdr:nvPicPr>
        <xdr:cNvPr id="23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D7A2AB15-A8E2-4F5A-B2E5-337BFB014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7871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39</xdr:row>
      <xdr:rowOff>45720</xdr:rowOff>
    </xdr:from>
    <xdr:ext cx="152400" cy="89535"/>
    <xdr:pic>
      <xdr:nvPicPr>
        <xdr:cNvPr id="23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ACC79163-6905-43B5-B597-6DA0ED063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7475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24</xdr:row>
      <xdr:rowOff>60960</xdr:rowOff>
    </xdr:from>
    <xdr:ext cx="163830" cy="110490"/>
    <xdr:pic>
      <xdr:nvPicPr>
        <xdr:cNvPr id="23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3B1E642-D4A9-4F57-B6AF-FAF6A0F8B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463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24</xdr:row>
      <xdr:rowOff>45720</xdr:rowOff>
    </xdr:from>
    <xdr:ext cx="152400" cy="89535"/>
    <xdr:pic>
      <xdr:nvPicPr>
        <xdr:cNvPr id="23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12396365-5F55-48B2-92F3-DDB60E540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461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25</xdr:row>
      <xdr:rowOff>60960</xdr:rowOff>
    </xdr:from>
    <xdr:ext cx="163830" cy="110490"/>
    <xdr:pic>
      <xdr:nvPicPr>
        <xdr:cNvPr id="23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BCEFF9F-05BB-45EA-9EBA-E686AF0DB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4823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25</xdr:row>
      <xdr:rowOff>45720</xdr:rowOff>
    </xdr:from>
    <xdr:ext cx="152400" cy="89535"/>
    <xdr:pic>
      <xdr:nvPicPr>
        <xdr:cNvPr id="23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61DFDA6-C1C9-42EB-A9C1-D2BEE0D4F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480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30</xdr:row>
      <xdr:rowOff>60960</xdr:rowOff>
    </xdr:from>
    <xdr:ext cx="163830" cy="110490"/>
    <xdr:pic>
      <xdr:nvPicPr>
        <xdr:cNvPr id="23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60A3EEC-8778-4795-9187-1F3A6DF46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5775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30</xdr:row>
      <xdr:rowOff>45720</xdr:rowOff>
    </xdr:from>
    <xdr:ext cx="152400" cy="89535"/>
    <xdr:pic>
      <xdr:nvPicPr>
        <xdr:cNvPr id="24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11FD7A5A-F845-4713-B1C6-F0587FAB9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5760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31</xdr:row>
      <xdr:rowOff>60960</xdr:rowOff>
    </xdr:from>
    <xdr:ext cx="163830" cy="110490"/>
    <xdr:pic>
      <xdr:nvPicPr>
        <xdr:cNvPr id="24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80553743-302A-42D5-8B7E-41B66965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5966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31</xdr:row>
      <xdr:rowOff>45720</xdr:rowOff>
    </xdr:from>
    <xdr:ext cx="152400" cy="89535"/>
    <xdr:pic>
      <xdr:nvPicPr>
        <xdr:cNvPr id="24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3A2A8701-4540-4DE6-A196-5C87D8F4A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5951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41</xdr:row>
      <xdr:rowOff>60960</xdr:rowOff>
    </xdr:from>
    <xdr:ext cx="163830" cy="110490"/>
    <xdr:pic>
      <xdr:nvPicPr>
        <xdr:cNvPr id="24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F95D51A8-41D3-461E-8DD9-F1807F642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7871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41</xdr:row>
      <xdr:rowOff>45720</xdr:rowOff>
    </xdr:from>
    <xdr:ext cx="152400" cy="89535"/>
    <xdr:pic>
      <xdr:nvPicPr>
        <xdr:cNvPr id="24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3C3F5885-A7D6-481D-A67A-5123FF47B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7856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41</xdr:row>
      <xdr:rowOff>60960</xdr:rowOff>
    </xdr:from>
    <xdr:ext cx="163830" cy="110490"/>
    <xdr:pic>
      <xdr:nvPicPr>
        <xdr:cNvPr id="24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2DF15D1E-455B-44F9-9C4E-344BB7985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7871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41</xdr:row>
      <xdr:rowOff>45720</xdr:rowOff>
    </xdr:from>
    <xdr:ext cx="152400" cy="89535"/>
    <xdr:pic>
      <xdr:nvPicPr>
        <xdr:cNvPr id="24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72C80F04-C203-41B4-890E-0E7B0FCFD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7856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25</xdr:row>
      <xdr:rowOff>60960</xdr:rowOff>
    </xdr:from>
    <xdr:ext cx="163830" cy="110490"/>
    <xdr:pic>
      <xdr:nvPicPr>
        <xdr:cNvPr id="24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8665FBFA-2BBF-4D4B-8569-2DAB74448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4823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25</xdr:row>
      <xdr:rowOff>45720</xdr:rowOff>
    </xdr:from>
    <xdr:ext cx="152400" cy="89535"/>
    <xdr:pic>
      <xdr:nvPicPr>
        <xdr:cNvPr id="24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B0DFAC1A-1AD1-4419-B3B1-A1586AEE0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480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24</xdr:row>
      <xdr:rowOff>60960</xdr:rowOff>
    </xdr:from>
    <xdr:ext cx="163830" cy="110490"/>
    <xdr:pic>
      <xdr:nvPicPr>
        <xdr:cNvPr id="24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C66CF061-FE4F-44CF-8EAA-8F3FFC8BE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463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24</xdr:row>
      <xdr:rowOff>45720</xdr:rowOff>
    </xdr:from>
    <xdr:ext cx="152400" cy="89535"/>
    <xdr:pic>
      <xdr:nvPicPr>
        <xdr:cNvPr id="25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752DE79-C78B-482A-9483-62A44C8CA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461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769620</xdr:colOff>
      <xdr:row>25</xdr:row>
      <xdr:rowOff>60960</xdr:rowOff>
    </xdr:from>
    <xdr:ext cx="163830" cy="110490"/>
    <xdr:pic>
      <xdr:nvPicPr>
        <xdr:cNvPr id="25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7EF58EF-1252-42F7-8E79-D4FB36AEE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1720" y="4823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739140</xdr:colOff>
      <xdr:row>25</xdr:row>
      <xdr:rowOff>45720</xdr:rowOff>
    </xdr:from>
    <xdr:ext cx="152400" cy="89535"/>
    <xdr:pic>
      <xdr:nvPicPr>
        <xdr:cNvPr id="25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AD35B9FB-4827-4D7E-97E6-BD93DDDF2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0765" y="480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769620</xdr:colOff>
      <xdr:row>25</xdr:row>
      <xdr:rowOff>60960</xdr:rowOff>
    </xdr:from>
    <xdr:ext cx="163830" cy="110490"/>
    <xdr:pic>
      <xdr:nvPicPr>
        <xdr:cNvPr id="25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0B9B4A7A-20FB-4B19-B906-F542F81EF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1720" y="4823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739140</xdr:colOff>
      <xdr:row>25</xdr:row>
      <xdr:rowOff>45720</xdr:rowOff>
    </xdr:from>
    <xdr:ext cx="152400" cy="89535"/>
    <xdr:pic>
      <xdr:nvPicPr>
        <xdr:cNvPr id="25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68FBADA-27D7-49C3-99A4-33E38056D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0765" y="480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25</xdr:row>
      <xdr:rowOff>60960</xdr:rowOff>
    </xdr:from>
    <xdr:ext cx="163830" cy="110490"/>
    <xdr:pic>
      <xdr:nvPicPr>
        <xdr:cNvPr id="25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787EE208-E370-4F65-8C29-5A6A174B7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4823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25</xdr:row>
      <xdr:rowOff>45720</xdr:rowOff>
    </xdr:from>
    <xdr:ext cx="152400" cy="89535"/>
    <xdr:pic>
      <xdr:nvPicPr>
        <xdr:cNvPr id="25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7C4052C-254D-401B-A54E-BA6199A3E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480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25</xdr:row>
      <xdr:rowOff>60960</xdr:rowOff>
    </xdr:from>
    <xdr:ext cx="163830" cy="110490"/>
    <xdr:pic>
      <xdr:nvPicPr>
        <xdr:cNvPr id="25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F3D55D02-2AC6-49AB-B0F8-A51F94845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4823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25</xdr:row>
      <xdr:rowOff>45720</xdr:rowOff>
    </xdr:from>
    <xdr:ext cx="152400" cy="89535"/>
    <xdr:pic>
      <xdr:nvPicPr>
        <xdr:cNvPr id="25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FC0C0C8-B35C-4902-8F79-39CF69B20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480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37</xdr:row>
      <xdr:rowOff>0</xdr:rowOff>
    </xdr:from>
    <xdr:ext cx="152400" cy="91440"/>
    <xdr:pic>
      <xdr:nvPicPr>
        <xdr:cNvPr id="259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E20FD8F9-E93A-4448-986D-C28286A1B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7048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1002030</xdr:colOff>
      <xdr:row>37</xdr:row>
      <xdr:rowOff>60960</xdr:rowOff>
    </xdr:from>
    <xdr:ext cx="152400" cy="99060"/>
    <xdr:pic>
      <xdr:nvPicPr>
        <xdr:cNvPr id="26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F76FC984-0AA1-43A4-8F9A-A396D73BA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7055" y="710946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37</xdr:row>
      <xdr:rowOff>0</xdr:rowOff>
    </xdr:from>
    <xdr:ext cx="152400" cy="91440"/>
    <xdr:pic>
      <xdr:nvPicPr>
        <xdr:cNvPr id="261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F535F29E-47A9-4DE5-8716-E510C5A22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7048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769620</xdr:colOff>
      <xdr:row>31</xdr:row>
      <xdr:rowOff>60960</xdr:rowOff>
    </xdr:from>
    <xdr:ext cx="163830" cy="110490"/>
    <xdr:pic>
      <xdr:nvPicPr>
        <xdr:cNvPr id="26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863F8AA0-8B41-47DA-A1C7-CA25212A4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1720" y="5966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739140</xdr:colOff>
      <xdr:row>31</xdr:row>
      <xdr:rowOff>45720</xdr:rowOff>
    </xdr:from>
    <xdr:ext cx="152400" cy="89535"/>
    <xdr:pic>
      <xdr:nvPicPr>
        <xdr:cNvPr id="26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AD57915C-85F1-4784-B1C8-880B8E04A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0765" y="5951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228600</xdr:colOff>
      <xdr:row>37</xdr:row>
      <xdr:rowOff>28575</xdr:rowOff>
    </xdr:from>
    <xdr:ext cx="152400" cy="91440"/>
    <xdr:pic>
      <xdr:nvPicPr>
        <xdr:cNvPr id="264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1695F1B7-73D9-4B3F-8628-510C54F94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3275" y="7077075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152400" cy="91440"/>
    <xdr:pic>
      <xdr:nvPicPr>
        <xdr:cNvPr id="26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F23177AE-66FB-45D6-9584-5C9D15E9A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0</xdr:rowOff>
    </xdr:from>
    <xdr:ext cx="152400" cy="91440"/>
    <xdr:pic>
      <xdr:nvPicPr>
        <xdr:cNvPr id="266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DE2CDA80-8060-4B15-B6A2-B473AC796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0</xdr:rowOff>
    </xdr:from>
    <xdr:ext cx="152400" cy="91440"/>
    <xdr:pic>
      <xdr:nvPicPr>
        <xdr:cNvPr id="267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B8104F91-6790-4043-8058-FC4AA73C6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9525</xdr:rowOff>
    </xdr:from>
    <xdr:ext cx="152400" cy="83820"/>
    <xdr:pic>
      <xdr:nvPicPr>
        <xdr:cNvPr id="26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6CB50B1C-CFA9-45D6-B3B8-F0FB21F04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4525"/>
          <a:ext cx="15240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152400" cy="91440"/>
    <xdr:pic>
      <xdr:nvPicPr>
        <xdr:cNvPr id="269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24ED8883-0AB7-4698-86D4-1722A1FA3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60960</xdr:rowOff>
    </xdr:from>
    <xdr:ext cx="163830" cy="110490"/>
    <xdr:pic>
      <xdr:nvPicPr>
        <xdr:cNvPr id="27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EED9E0AA-2A33-498D-A155-3A6F7B89C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71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66675</xdr:rowOff>
    </xdr:from>
    <xdr:ext cx="140970" cy="100965"/>
    <xdr:pic>
      <xdr:nvPicPr>
        <xdr:cNvPr id="271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6D50A7F5-312A-48D6-B6EC-2BF1A6868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2175"/>
          <a:ext cx="140970" cy="100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0</xdr:rowOff>
    </xdr:from>
    <xdr:ext cx="152400" cy="91440"/>
    <xdr:pic>
      <xdr:nvPicPr>
        <xdr:cNvPr id="272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9F7FA598-74CA-40D1-B3E5-B92DA1B6C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45720</xdr:rowOff>
    </xdr:from>
    <xdr:ext cx="152400" cy="89535"/>
    <xdr:pic>
      <xdr:nvPicPr>
        <xdr:cNvPr id="27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59ECCC2-DBC0-4A02-B943-6ACBE507B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9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152400" cy="91440"/>
    <xdr:pic>
      <xdr:nvPicPr>
        <xdr:cNvPr id="274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BA6E7964-14DA-4647-BC5E-B24338330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0</xdr:rowOff>
    </xdr:from>
    <xdr:ext cx="152400" cy="91440"/>
    <xdr:pic>
      <xdr:nvPicPr>
        <xdr:cNvPr id="275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3DC9E890-237A-4A42-994E-43C6F27A3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60960</xdr:rowOff>
    </xdr:from>
    <xdr:ext cx="152400" cy="99060"/>
    <xdr:pic>
      <xdr:nvPicPr>
        <xdr:cNvPr id="27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7552E0D7-0F5F-45C3-BCF9-711229850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796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39</xdr:row>
      <xdr:rowOff>60960</xdr:rowOff>
    </xdr:from>
    <xdr:ext cx="163830" cy="110490"/>
    <xdr:pic>
      <xdr:nvPicPr>
        <xdr:cNvPr id="27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4822D0B2-BDE9-448C-8C4D-C7C9DDD8E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7490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28575</xdr:colOff>
      <xdr:row>31</xdr:row>
      <xdr:rowOff>66675</xdr:rowOff>
    </xdr:from>
    <xdr:ext cx="140970" cy="100965"/>
    <xdr:pic>
      <xdr:nvPicPr>
        <xdr:cNvPr id="278" name="gdvTS_rw_12_MNOTE" descr="https://mnw12.ultipro.com/Nova4000/projectImage/misc/Space.gif">
          <a:extLst>
            <a:ext uri="{FF2B5EF4-FFF2-40B4-BE49-F238E27FC236}">
              <a16:creationId xmlns:a16="http://schemas.microsoft.com/office/drawing/2014/main" id="{26FFAC0D-393F-4D71-8317-D97E91361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5972175"/>
          <a:ext cx="140970" cy="100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171450</xdr:colOff>
      <xdr:row>28</xdr:row>
      <xdr:rowOff>152400</xdr:rowOff>
    </xdr:from>
    <xdr:ext cx="152400" cy="91440"/>
    <xdr:pic>
      <xdr:nvPicPr>
        <xdr:cNvPr id="279" name="gdvTS_rw_13_MNOTE" descr="https://mnw12.ultipro.com/Nova4000/projectImage/misc/Space.gif">
          <a:extLst>
            <a:ext uri="{FF2B5EF4-FFF2-40B4-BE49-F238E27FC236}">
              <a16:creationId xmlns:a16="http://schemas.microsoft.com/office/drawing/2014/main" id="{981F79E5-274C-4007-9EB9-3480AFBAB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" y="54864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27</xdr:row>
      <xdr:rowOff>45720</xdr:rowOff>
    </xdr:from>
    <xdr:ext cx="152400" cy="89535"/>
    <xdr:pic>
      <xdr:nvPicPr>
        <xdr:cNvPr id="28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79D58680-BF5F-453D-8314-9F4EF8D0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5189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152400" cy="91440"/>
    <xdr:pic>
      <xdr:nvPicPr>
        <xdr:cNvPr id="281" name="gdvTS_rw_15_MNOTE" descr="https://mnw12.ultipro.com/Nova4000/projectImage/misc/Space.gif">
          <a:extLst>
            <a:ext uri="{FF2B5EF4-FFF2-40B4-BE49-F238E27FC236}">
              <a16:creationId xmlns:a16="http://schemas.microsoft.com/office/drawing/2014/main" id="{4851F693-D06F-4522-9A85-90780B7A6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905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152400" cy="91440"/>
    <xdr:pic>
      <xdr:nvPicPr>
        <xdr:cNvPr id="282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10EFBA4A-1CC2-431A-8349-F147F68E2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268605</xdr:colOff>
      <xdr:row>34</xdr:row>
      <xdr:rowOff>70485</xdr:rowOff>
    </xdr:from>
    <xdr:ext cx="152400" cy="99060"/>
    <xdr:pic>
      <xdr:nvPicPr>
        <xdr:cNvPr id="28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FE5E57B-98E1-40D6-9C1B-0899D761A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980" y="6547485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41</xdr:row>
      <xdr:rowOff>60960</xdr:rowOff>
    </xdr:from>
    <xdr:ext cx="163830" cy="110490"/>
    <xdr:pic>
      <xdr:nvPicPr>
        <xdr:cNvPr id="28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5882418-3EE6-4706-8856-1DC6D67E7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7871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39</xdr:row>
      <xdr:rowOff>45720</xdr:rowOff>
    </xdr:from>
    <xdr:ext cx="152400" cy="89535"/>
    <xdr:pic>
      <xdr:nvPicPr>
        <xdr:cNvPr id="28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B28B4924-F9B2-4922-8D0E-082685D40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7475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24</xdr:row>
      <xdr:rowOff>60960</xdr:rowOff>
    </xdr:from>
    <xdr:ext cx="163830" cy="110490"/>
    <xdr:pic>
      <xdr:nvPicPr>
        <xdr:cNvPr id="28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DA2F00C6-EC93-4286-ACC0-B050EB04F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463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24</xdr:row>
      <xdr:rowOff>45720</xdr:rowOff>
    </xdr:from>
    <xdr:ext cx="152400" cy="89535"/>
    <xdr:pic>
      <xdr:nvPicPr>
        <xdr:cNvPr id="28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B663297C-7A71-4C70-AB32-F14B32C33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461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28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0F2E48D-248F-433D-B789-B34C307C9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4823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28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1A2A7A48-D650-4C26-977E-44619EAF5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480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30</xdr:row>
      <xdr:rowOff>60960</xdr:rowOff>
    </xdr:from>
    <xdr:ext cx="163830" cy="110490"/>
    <xdr:pic>
      <xdr:nvPicPr>
        <xdr:cNvPr id="29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6B489905-CD3F-45FC-8161-6DD0B619D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5775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30</xdr:row>
      <xdr:rowOff>45720</xdr:rowOff>
    </xdr:from>
    <xdr:ext cx="152400" cy="89535"/>
    <xdr:pic>
      <xdr:nvPicPr>
        <xdr:cNvPr id="29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F82A6B6-B5F4-497E-A356-36624CEE0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5760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31</xdr:row>
      <xdr:rowOff>60960</xdr:rowOff>
    </xdr:from>
    <xdr:ext cx="163830" cy="110490"/>
    <xdr:pic>
      <xdr:nvPicPr>
        <xdr:cNvPr id="29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4CEB1A41-10DD-4A87-8BD1-78CC394E6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5966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31</xdr:row>
      <xdr:rowOff>45720</xdr:rowOff>
    </xdr:from>
    <xdr:ext cx="152400" cy="89535"/>
    <xdr:pic>
      <xdr:nvPicPr>
        <xdr:cNvPr id="29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FD2555D7-677D-4792-96A3-1B30D8061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5951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41</xdr:row>
      <xdr:rowOff>60960</xdr:rowOff>
    </xdr:from>
    <xdr:ext cx="163830" cy="110490"/>
    <xdr:pic>
      <xdr:nvPicPr>
        <xdr:cNvPr id="29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048900DD-3335-44B3-9416-F70149B46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7871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41</xdr:row>
      <xdr:rowOff>45720</xdr:rowOff>
    </xdr:from>
    <xdr:ext cx="152400" cy="89535"/>
    <xdr:pic>
      <xdr:nvPicPr>
        <xdr:cNvPr id="29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36C08A00-9122-4CCF-8C29-EF4DCD4F8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7856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41</xdr:row>
      <xdr:rowOff>60960</xdr:rowOff>
    </xdr:from>
    <xdr:ext cx="163830" cy="110490"/>
    <xdr:pic>
      <xdr:nvPicPr>
        <xdr:cNvPr id="29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AE9971C-3872-46D7-94FF-CC0DF3007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7871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41</xdr:row>
      <xdr:rowOff>45720</xdr:rowOff>
    </xdr:from>
    <xdr:ext cx="152400" cy="89535"/>
    <xdr:pic>
      <xdr:nvPicPr>
        <xdr:cNvPr id="29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F8003944-49D1-4A7C-9339-4FCDACD41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7856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29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299B4A5-BB9B-42A2-9767-71A77A4D1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4823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29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4875324-1CAC-43EA-ACBE-9AEEBFB04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480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24</xdr:row>
      <xdr:rowOff>60960</xdr:rowOff>
    </xdr:from>
    <xdr:ext cx="163830" cy="110490"/>
    <xdr:pic>
      <xdr:nvPicPr>
        <xdr:cNvPr id="30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FA63F76-BCA4-415A-9C9A-D8E904EAC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463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24</xdr:row>
      <xdr:rowOff>45720</xdr:rowOff>
    </xdr:from>
    <xdr:ext cx="152400" cy="89535"/>
    <xdr:pic>
      <xdr:nvPicPr>
        <xdr:cNvPr id="30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5C4BD5C6-8686-4CD3-B43F-B08CC4449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461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25</xdr:row>
      <xdr:rowOff>60960</xdr:rowOff>
    </xdr:from>
    <xdr:ext cx="163830" cy="110490"/>
    <xdr:pic>
      <xdr:nvPicPr>
        <xdr:cNvPr id="30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DF011B6-AF15-4E95-AE3F-9186FDD6B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4823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25</xdr:row>
      <xdr:rowOff>45720</xdr:rowOff>
    </xdr:from>
    <xdr:ext cx="152400" cy="89535"/>
    <xdr:pic>
      <xdr:nvPicPr>
        <xdr:cNvPr id="30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3E1A185-6FB7-49B9-9C7D-3955EF2FF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480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25</xdr:row>
      <xdr:rowOff>60960</xdr:rowOff>
    </xdr:from>
    <xdr:ext cx="163830" cy="110490"/>
    <xdr:pic>
      <xdr:nvPicPr>
        <xdr:cNvPr id="30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6E34419D-1B83-496A-874D-FE26546C9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4823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25</xdr:row>
      <xdr:rowOff>45720</xdr:rowOff>
    </xdr:from>
    <xdr:ext cx="152400" cy="89535"/>
    <xdr:pic>
      <xdr:nvPicPr>
        <xdr:cNvPr id="30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6F941F5-DD63-4D70-9D62-EA5CB9FFF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480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30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4CB3110F-F09F-43F7-8B49-0578B5D8B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4823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30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5EF7C5EB-6EAA-4CF5-A775-B297F4E4D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480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30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574AED84-C763-427C-B0AC-EBC976D1B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4823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30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BECC121-BADD-405C-92C9-18BF27F78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480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0</xdr:rowOff>
    </xdr:from>
    <xdr:ext cx="152400" cy="91440"/>
    <xdr:pic>
      <xdr:nvPicPr>
        <xdr:cNvPr id="310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27A45948-3CE7-430B-8683-B21538438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739140</xdr:colOff>
      <xdr:row>27</xdr:row>
      <xdr:rowOff>45720</xdr:rowOff>
    </xdr:from>
    <xdr:ext cx="152400" cy="89535"/>
    <xdr:pic>
      <xdr:nvPicPr>
        <xdr:cNvPr id="31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8748E4E-7E86-4870-BB29-1CEE2FB54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0765" y="5189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739140</xdr:colOff>
      <xdr:row>28</xdr:row>
      <xdr:rowOff>45720</xdr:rowOff>
    </xdr:from>
    <xdr:ext cx="152400" cy="89535"/>
    <xdr:pic>
      <xdr:nvPicPr>
        <xdr:cNvPr id="31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59CBCA1-7588-440D-9256-970F235C6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0765" y="5379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739140</xdr:colOff>
      <xdr:row>28</xdr:row>
      <xdr:rowOff>45720</xdr:rowOff>
    </xdr:from>
    <xdr:ext cx="152400" cy="89535"/>
    <xdr:pic>
      <xdr:nvPicPr>
        <xdr:cNvPr id="31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D06B8B4-3C26-4846-9633-BFBD39009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7815" y="5379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28</xdr:row>
      <xdr:rowOff>45720</xdr:rowOff>
    </xdr:from>
    <xdr:ext cx="152400" cy="89535"/>
    <xdr:pic>
      <xdr:nvPicPr>
        <xdr:cNvPr id="31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AFB6255-9B9F-4E95-950D-27DDBC514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5379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739140</xdr:colOff>
      <xdr:row>28</xdr:row>
      <xdr:rowOff>45720</xdr:rowOff>
    </xdr:from>
    <xdr:ext cx="152400" cy="89535"/>
    <xdr:pic>
      <xdr:nvPicPr>
        <xdr:cNvPr id="31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14E69D7-B968-4C58-83D8-676B7401A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0765" y="5379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28</xdr:row>
      <xdr:rowOff>60960</xdr:rowOff>
    </xdr:from>
    <xdr:ext cx="163830" cy="110490"/>
    <xdr:pic>
      <xdr:nvPicPr>
        <xdr:cNvPr id="31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7E8D2973-29E6-445F-BE40-50BBA1505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245" y="5394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28</xdr:row>
      <xdr:rowOff>45720</xdr:rowOff>
    </xdr:from>
    <xdr:ext cx="152400" cy="89535"/>
    <xdr:pic>
      <xdr:nvPicPr>
        <xdr:cNvPr id="31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119A9B7-B0BF-442C-A154-0AFB38609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5379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15</xdr:row>
      <xdr:rowOff>0</xdr:rowOff>
    </xdr:from>
    <xdr:ext cx="152400" cy="91440"/>
    <xdr:pic>
      <xdr:nvPicPr>
        <xdr:cNvPr id="318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C4886411-0A1A-4C80-B687-9EF62DC5D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2857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14</xdr:row>
      <xdr:rowOff>0</xdr:rowOff>
    </xdr:from>
    <xdr:ext cx="152400" cy="91440"/>
    <xdr:pic>
      <xdr:nvPicPr>
        <xdr:cNvPr id="319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D037E964-621E-4AEB-9096-6BC7A6B6E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2667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14</xdr:row>
      <xdr:rowOff>0</xdr:rowOff>
    </xdr:from>
    <xdr:ext cx="152400" cy="91440"/>
    <xdr:pic>
      <xdr:nvPicPr>
        <xdr:cNvPr id="320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A547EF17-C927-4485-9122-7717F7EAA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2667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0</xdr:rowOff>
    </xdr:from>
    <xdr:ext cx="152400" cy="91440"/>
    <xdr:pic>
      <xdr:nvPicPr>
        <xdr:cNvPr id="321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3AFA7D89-D2E1-4046-98A5-696D23EB5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1002030</xdr:colOff>
      <xdr:row>37</xdr:row>
      <xdr:rowOff>60960</xdr:rowOff>
    </xdr:from>
    <xdr:ext cx="152400" cy="99060"/>
    <xdr:pic>
      <xdr:nvPicPr>
        <xdr:cNvPr id="32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2E4C3082-9E9C-4F26-BAC9-8ED0F168C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9405" y="710946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4</xdr:row>
      <xdr:rowOff>60960</xdr:rowOff>
    </xdr:from>
    <xdr:ext cx="163830" cy="110490"/>
    <xdr:pic>
      <xdr:nvPicPr>
        <xdr:cNvPr id="32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6081AE3-360D-4630-A005-5307B9E09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4</xdr:row>
      <xdr:rowOff>45720</xdr:rowOff>
    </xdr:from>
    <xdr:ext cx="152400" cy="89535"/>
    <xdr:pic>
      <xdr:nvPicPr>
        <xdr:cNvPr id="32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09E62CA-A83D-4C8A-A3C4-00CF6A831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4</xdr:row>
      <xdr:rowOff>60960</xdr:rowOff>
    </xdr:from>
    <xdr:ext cx="163830" cy="110490"/>
    <xdr:pic>
      <xdr:nvPicPr>
        <xdr:cNvPr id="32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5B9D55EA-7122-42AA-A17A-8A0C30F64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4</xdr:row>
      <xdr:rowOff>45720</xdr:rowOff>
    </xdr:from>
    <xdr:ext cx="152400" cy="89535"/>
    <xdr:pic>
      <xdr:nvPicPr>
        <xdr:cNvPr id="32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72254411-30D4-44F7-95A9-35E37CC64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4</xdr:row>
      <xdr:rowOff>60960</xdr:rowOff>
    </xdr:from>
    <xdr:ext cx="163830" cy="110490"/>
    <xdr:pic>
      <xdr:nvPicPr>
        <xdr:cNvPr id="32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5637C014-F29B-4C35-8F6F-E2898EB0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4</xdr:row>
      <xdr:rowOff>45720</xdr:rowOff>
    </xdr:from>
    <xdr:ext cx="152400" cy="89535"/>
    <xdr:pic>
      <xdr:nvPicPr>
        <xdr:cNvPr id="32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FE82478-B79B-4786-A963-801944885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4</xdr:row>
      <xdr:rowOff>60960</xdr:rowOff>
    </xdr:from>
    <xdr:ext cx="163830" cy="110490"/>
    <xdr:pic>
      <xdr:nvPicPr>
        <xdr:cNvPr id="32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A1345250-4941-4911-9301-DF768AAA8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4</xdr:row>
      <xdr:rowOff>45720</xdr:rowOff>
    </xdr:from>
    <xdr:ext cx="152400" cy="89535"/>
    <xdr:pic>
      <xdr:nvPicPr>
        <xdr:cNvPr id="33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6052B76F-44DD-49E2-B7CE-0800758D8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4</xdr:row>
      <xdr:rowOff>60960</xdr:rowOff>
    </xdr:from>
    <xdr:ext cx="163830" cy="110490"/>
    <xdr:pic>
      <xdr:nvPicPr>
        <xdr:cNvPr id="33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D8CD1AA2-43D7-4FC3-944D-CC315906E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4</xdr:row>
      <xdr:rowOff>45720</xdr:rowOff>
    </xdr:from>
    <xdr:ext cx="152400" cy="89535"/>
    <xdr:pic>
      <xdr:nvPicPr>
        <xdr:cNvPr id="33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351F71BB-34BB-4FD9-9160-14167BAA2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4</xdr:row>
      <xdr:rowOff>60960</xdr:rowOff>
    </xdr:from>
    <xdr:ext cx="163830" cy="110490"/>
    <xdr:pic>
      <xdr:nvPicPr>
        <xdr:cNvPr id="33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72BD999-879C-498F-806F-DDC44BCFB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4</xdr:row>
      <xdr:rowOff>45720</xdr:rowOff>
    </xdr:from>
    <xdr:ext cx="152400" cy="89535"/>
    <xdr:pic>
      <xdr:nvPicPr>
        <xdr:cNvPr id="33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0382695-D349-43BE-AE0E-43C4A2A5B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4</xdr:row>
      <xdr:rowOff>60960</xdr:rowOff>
    </xdr:from>
    <xdr:ext cx="163830" cy="110490"/>
    <xdr:pic>
      <xdr:nvPicPr>
        <xdr:cNvPr id="33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7728539-815F-400D-A340-60DA5DBFC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4</xdr:row>
      <xdr:rowOff>45720</xdr:rowOff>
    </xdr:from>
    <xdr:ext cx="152400" cy="89535"/>
    <xdr:pic>
      <xdr:nvPicPr>
        <xdr:cNvPr id="33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72DD80E4-0F73-4021-BC75-A575B44E6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739140</xdr:colOff>
      <xdr:row>6</xdr:row>
      <xdr:rowOff>45720</xdr:rowOff>
    </xdr:from>
    <xdr:ext cx="152400" cy="89535"/>
    <xdr:pic>
      <xdr:nvPicPr>
        <xdr:cNvPr id="33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A02AFEA-307E-4B04-B7F9-D9EC10459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0765" y="1188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30</xdr:row>
      <xdr:rowOff>60960</xdr:rowOff>
    </xdr:from>
    <xdr:ext cx="163830" cy="110490"/>
    <xdr:pic>
      <xdr:nvPicPr>
        <xdr:cNvPr id="33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66BD8BE-6706-4775-B969-A724881C9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5775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30</xdr:row>
      <xdr:rowOff>45720</xdr:rowOff>
    </xdr:from>
    <xdr:ext cx="152400" cy="89535"/>
    <xdr:pic>
      <xdr:nvPicPr>
        <xdr:cNvPr id="33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731CA681-2313-40F3-A867-59B170455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5760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31</xdr:row>
      <xdr:rowOff>60960</xdr:rowOff>
    </xdr:from>
    <xdr:ext cx="163830" cy="110490"/>
    <xdr:pic>
      <xdr:nvPicPr>
        <xdr:cNvPr id="34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D3C782E-0EF4-49BB-9547-27A436DA5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5966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31</xdr:row>
      <xdr:rowOff>45720</xdr:rowOff>
    </xdr:from>
    <xdr:ext cx="152400" cy="89535"/>
    <xdr:pic>
      <xdr:nvPicPr>
        <xdr:cNvPr id="34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B316A1A-64DE-414A-833C-EA46A6C71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5951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31</xdr:row>
      <xdr:rowOff>60960</xdr:rowOff>
    </xdr:from>
    <xdr:ext cx="163830" cy="110490"/>
    <xdr:pic>
      <xdr:nvPicPr>
        <xdr:cNvPr id="34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795B8D6E-1C6A-40ED-92C4-D26E7BAE0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5966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31</xdr:row>
      <xdr:rowOff>45720</xdr:rowOff>
    </xdr:from>
    <xdr:ext cx="152400" cy="89535"/>
    <xdr:pic>
      <xdr:nvPicPr>
        <xdr:cNvPr id="34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63D3B98-5DD9-4C0D-BA10-446C21BD0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5951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30</xdr:row>
      <xdr:rowOff>60960</xdr:rowOff>
    </xdr:from>
    <xdr:ext cx="163830" cy="110490"/>
    <xdr:pic>
      <xdr:nvPicPr>
        <xdr:cNvPr id="34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F9B12706-46DC-4B8C-BD7C-05839AF9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5775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30</xdr:row>
      <xdr:rowOff>45720</xdr:rowOff>
    </xdr:from>
    <xdr:ext cx="152400" cy="89535"/>
    <xdr:pic>
      <xdr:nvPicPr>
        <xdr:cNvPr id="34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43A046A-CE70-471F-8BB0-24682D46F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5760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31</xdr:row>
      <xdr:rowOff>60960</xdr:rowOff>
    </xdr:from>
    <xdr:ext cx="163830" cy="110490"/>
    <xdr:pic>
      <xdr:nvPicPr>
        <xdr:cNvPr id="34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E1111AE6-BD63-42CC-BC88-B2526483F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5966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31</xdr:row>
      <xdr:rowOff>45720</xdr:rowOff>
    </xdr:from>
    <xdr:ext cx="152400" cy="89535"/>
    <xdr:pic>
      <xdr:nvPicPr>
        <xdr:cNvPr id="34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7183FE5-7D9D-49C4-A55A-500BEC92D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5951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31</xdr:row>
      <xdr:rowOff>60960</xdr:rowOff>
    </xdr:from>
    <xdr:ext cx="163830" cy="110490"/>
    <xdr:pic>
      <xdr:nvPicPr>
        <xdr:cNvPr id="34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731DE8DE-02E7-4166-A488-15EF27660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5966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31</xdr:row>
      <xdr:rowOff>45720</xdr:rowOff>
    </xdr:from>
    <xdr:ext cx="152400" cy="89535"/>
    <xdr:pic>
      <xdr:nvPicPr>
        <xdr:cNvPr id="34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4897E92-0311-48C4-8B51-CD6055BF8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5951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31</xdr:row>
      <xdr:rowOff>60960</xdr:rowOff>
    </xdr:from>
    <xdr:ext cx="163830" cy="110490"/>
    <xdr:pic>
      <xdr:nvPicPr>
        <xdr:cNvPr id="35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A8561D1-2480-4C30-823E-99083B1D1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5966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31</xdr:row>
      <xdr:rowOff>45720</xdr:rowOff>
    </xdr:from>
    <xdr:ext cx="152400" cy="89535"/>
    <xdr:pic>
      <xdr:nvPicPr>
        <xdr:cNvPr id="35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63F7E2C9-A425-4244-A5B8-2D6160D14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5951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31</xdr:row>
      <xdr:rowOff>60960</xdr:rowOff>
    </xdr:from>
    <xdr:ext cx="163830" cy="110490"/>
    <xdr:pic>
      <xdr:nvPicPr>
        <xdr:cNvPr id="35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1C3883E-C942-47F5-B13A-B466FCA9C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5966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31</xdr:row>
      <xdr:rowOff>45720</xdr:rowOff>
    </xdr:from>
    <xdr:ext cx="152400" cy="89535"/>
    <xdr:pic>
      <xdr:nvPicPr>
        <xdr:cNvPr id="35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7DE476FC-17BC-468E-BFF0-08008F1F2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5951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739140</xdr:colOff>
      <xdr:row>28</xdr:row>
      <xdr:rowOff>45720</xdr:rowOff>
    </xdr:from>
    <xdr:ext cx="152400" cy="89535"/>
    <xdr:pic>
      <xdr:nvPicPr>
        <xdr:cNvPr id="35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BE78CB1-0E58-4784-A6C4-3CB2CECE2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0765" y="5379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28</xdr:row>
      <xdr:rowOff>45720</xdr:rowOff>
    </xdr:from>
    <xdr:ext cx="152400" cy="89535"/>
    <xdr:pic>
      <xdr:nvPicPr>
        <xdr:cNvPr id="35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C171E46-E072-4FFF-9E13-6A039C4BA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5379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27</xdr:row>
      <xdr:rowOff>45720</xdr:rowOff>
    </xdr:from>
    <xdr:ext cx="152400" cy="89535"/>
    <xdr:pic>
      <xdr:nvPicPr>
        <xdr:cNvPr id="35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163309B0-D1FD-4EFF-9E4C-05FD52EA0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765" y="5189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4</xdr:row>
      <xdr:rowOff>60960</xdr:rowOff>
    </xdr:from>
    <xdr:ext cx="163830" cy="110490"/>
    <xdr:pic>
      <xdr:nvPicPr>
        <xdr:cNvPr id="35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A94D2C83-0104-41CC-AE89-B1D39F685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4</xdr:row>
      <xdr:rowOff>45720</xdr:rowOff>
    </xdr:from>
    <xdr:ext cx="152400" cy="89535"/>
    <xdr:pic>
      <xdr:nvPicPr>
        <xdr:cNvPr id="35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F9711C77-DC6C-443B-931E-3DC9C461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4</xdr:row>
      <xdr:rowOff>60960</xdr:rowOff>
    </xdr:from>
    <xdr:ext cx="163830" cy="110490"/>
    <xdr:pic>
      <xdr:nvPicPr>
        <xdr:cNvPr id="35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CDC2E35-FB70-42B3-8667-4E466FFA5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4</xdr:row>
      <xdr:rowOff>45720</xdr:rowOff>
    </xdr:from>
    <xdr:ext cx="152400" cy="89535"/>
    <xdr:pic>
      <xdr:nvPicPr>
        <xdr:cNvPr id="36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9BC4EAD-A330-45F6-853A-C37C580BC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14</xdr:row>
      <xdr:rowOff>60960</xdr:rowOff>
    </xdr:from>
    <xdr:ext cx="163830" cy="110490"/>
    <xdr:pic>
      <xdr:nvPicPr>
        <xdr:cNvPr id="36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7CA554D9-80FC-45F1-B973-3B1125F98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2727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14</xdr:row>
      <xdr:rowOff>45720</xdr:rowOff>
    </xdr:from>
    <xdr:ext cx="152400" cy="89535"/>
    <xdr:pic>
      <xdr:nvPicPr>
        <xdr:cNvPr id="36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4761D0B-9A76-406C-B7B0-3D34FED7A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2712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37</xdr:row>
      <xdr:rowOff>0</xdr:rowOff>
    </xdr:from>
    <xdr:ext cx="152400" cy="91440"/>
    <xdr:pic>
      <xdr:nvPicPr>
        <xdr:cNvPr id="363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FEA55710-298A-474B-8F65-FF63F5360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7048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37</xdr:row>
      <xdr:rowOff>0</xdr:rowOff>
    </xdr:from>
    <xdr:ext cx="152400" cy="91440"/>
    <xdr:pic>
      <xdr:nvPicPr>
        <xdr:cNvPr id="364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1E047929-1E35-4372-B410-8FDC0E4D3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7048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36</xdr:row>
      <xdr:rowOff>0</xdr:rowOff>
    </xdr:from>
    <xdr:ext cx="152400" cy="91440"/>
    <xdr:pic>
      <xdr:nvPicPr>
        <xdr:cNvPr id="365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42F2B610-8690-46B7-8EDE-E3577835A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6858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36</xdr:row>
      <xdr:rowOff>0</xdr:rowOff>
    </xdr:from>
    <xdr:ext cx="152400" cy="91440"/>
    <xdr:pic>
      <xdr:nvPicPr>
        <xdr:cNvPr id="366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6FA69AAE-F878-4705-8D60-EC6CE009D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68580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37</xdr:row>
      <xdr:rowOff>0</xdr:rowOff>
    </xdr:from>
    <xdr:ext cx="152400" cy="91440"/>
    <xdr:pic>
      <xdr:nvPicPr>
        <xdr:cNvPr id="367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6DB53095-03C5-462C-B2D8-2BA244838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7048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37</xdr:row>
      <xdr:rowOff>0</xdr:rowOff>
    </xdr:from>
    <xdr:ext cx="152400" cy="91440"/>
    <xdr:pic>
      <xdr:nvPicPr>
        <xdr:cNvPr id="368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38862B8F-89E0-48E0-913E-BAD60ADDF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7048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37</xdr:row>
      <xdr:rowOff>0</xdr:rowOff>
    </xdr:from>
    <xdr:ext cx="152400" cy="91440"/>
    <xdr:pic>
      <xdr:nvPicPr>
        <xdr:cNvPr id="369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15184BC3-CED3-4CB6-AC5A-773963722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7048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37</xdr:row>
      <xdr:rowOff>0</xdr:rowOff>
    </xdr:from>
    <xdr:ext cx="152400" cy="91440"/>
    <xdr:pic>
      <xdr:nvPicPr>
        <xdr:cNvPr id="370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BE346849-2D68-4643-A8F2-1571D6233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70485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5</xdr:row>
      <xdr:rowOff>45720</xdr:rowOff>
    </xdr:from>
    <xdr:ext cx="152400" cy="89535"/>
    <xdr:pic>
      <xdr:nvPicPr>
        <xdr:cNvPr id="37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48F1BA4-D818-4180-83CE-609C6AF99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998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2</xdr:row>
      <xdr:rowOff>60960</xdr:rowOff>
    </xdr:from>
    <xdr:ext cx="163830" cy="110490"/>
    <xdr:pic>
      <xdr:nvPicPr>
        <xdr:cNvPr id="37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45FFF2F-15D9-4D99-8675-06290BD83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441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</xdr:row>
      <xdr:rowOff>45720</xdr:rowOff>
    </xdr:from>
    <xdr:ext cx="152400" cy="89535"/>
    <xdr:pic>
      <xdr:nvPicPr>
        <xdr:cNvPr id="37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10B33D8E-561B-4364-A20D-C7AF798A8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426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3</xdr:row>
      <xdr:rowOff>60960</xdr:rowOff>
    </xdr:from>
    <xdr:ext cx="163830" cy="110490"/>
    <xdr:pic>
      <xdr:nvPicPr>
        <xdr:cNvPr id="37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E4440135-025D-465B-9240-569AEB74B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3</xdr:row>
      <xdr:rowOff>45720</xdr:rowOff>
    </xdr:from>
    <xdr:ext cx="152400" cy="89535"/>
    <xdr:pic>
      <xdr:nvPicPr>
        <xdr:cNvPr id="37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538D9BC7-FBF1-484A-9FED-757563F01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8</xdr:row>
      <xdr:rowOff>60960</xdr:rowOff>
    </xdr:from>
    <xdr:ext cx="163830" cy="110490"/>
    <xdr:pic>
      <xdr:nvPicPr>
        <xdr:cNvPr id="37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E584DDC5-C71E-46DA-945A-9D8F45180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1584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8</xdr:row>
      <xdr:rowOff>45720</xdr:rowOff>
    </xdr:from>
    <xdr:ext cx="152400" cy="89535"/>
    <xdr:pic>
      <xdr:nvPicPr>
        <xdr:cNvPr id="37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21D119A8-1CDB-4494-9028-006DBED44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1569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9</xdr:row>
      <xdr:rowOff>60960</xdr:rowOff>
    </xdr:from>
    <xdr:ext cx="163830" cy="110490"/>
    <xdr:pic>
      <xdr:nvPicPr>
        <xdr:cNvPr id="37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3543D82-5D1A-45F2-8220-5202AA42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1775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9</xdr:row>
      <xdr:rowOff>45720</xdr:rowOff>
    </xdr:from>
    <xdr:ext cx="152400" cy="89535"/>
    <xdr:pic>
      <xdr:nvPicPr>
        <xdr:cNvPr id="37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A3F3865-86F9-4A7B-9B14-D870CC876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1760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3</xdr:row>
      <xdr:rowOff>60960</xdr:rowOff>
    </xdr:from>
    <xdr:ext cx="163830" cy="110490"/>
    <xdr:pic>
      <xdr:nvPicPr>
        <xdr:cNvPr id="38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57AD6999-5D8A-4749-A0E1-739831E24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3</xdr:row>
      <xdr:rowOff>45720</xdr:rowOff>
    </xdr:from>
    <xdr:ext cx="152400" cy="89535"/>
    <xdr:pic>
      <xdr:nvPicPr>
        <xdr:cNvPr id="38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3B12FC1B-7997-40C5-9B2B-912067E40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2</xdr:row>
      <xdr:rowOff>60960</xdr:rowOff>
    </xdr:from>
    <xdr:ext cx="163830" cy="110490"/>
    <xdr:pic>
      <xdr:nvPicPr>
        <xdr:cNvPr id="38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C967702-090F-4A1B-96EF-78D17EB91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441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2</xdr:row>
      <xdr:rowOff>45720</xdr:rowOff>
    </xdr:from>
    <xdr:ext cx="152400" cy="89535"/>
    <xdr:pic>
      <xdr:nvPicPr>
        <xdr:cNvPr id="38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35075623-73FC-4341-9C3E-BB7E8DD3B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426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769620</xdr:colOff>
      <xdr:row>3</xdr:row>
      <xdr:rowOff>60960</xdr:rowOff>
    </xdr:from>
    <xdr:ext cx="163830" cy="110490"/>
    <xdr:pic>
      <xdr:nvPicPr>
        <xdr:cNvPr id="38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58EBFEB-4CF9-40B6-8C56-E1E9601F0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739140</xdr:colOff>
      <xdr:row>3</xdr:row>
      <xdr:rowOff>45720</xdr:rowOff>
    </xdr:from>
    <xdr:ext cx="152400" cy="89535"/>
    <xdr:pic>
      <xdr:nvPicPr>
        <xdr:cNvPr id="38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CFA22D5-7ED5-4AD5-9828-EFD6C7497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769620</xdr:colOff>
      <xdr:row>3</xdr:row>
      <xdr:rowOff>60960</xdr:rowOff>
    </xdr:from>
    <xdr:ext cx="163830" cy="110490"/>
    <xdr:pic>
      <xdr:nvPicPr>
        <xdr:cNvPr id="38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E6297195-7BE7-4ACB-8D7B-FA3037097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739140</xdr:colOff>
      <xdr:row>3</xdr:row>
      <xdr:rowOff>45720</xdr:rowOff>
    </xdr:from>
    <xdr:ext cx="152400" cy="89535"/>
    <xdr:pic>
      <xdr:nvPicPr>
        <xdr:cNvPr id="38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5D596D82-62D8-43F8-8778-F44E71AC1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3</xdr:row>
      <xdr:rowOff>60960</xdr:rowOff>
    </xdr:from>
    <xdr:ext cx="163830" cy="110490"/>
    <xdr:pic>
      <xdr:nvPicPr>
        <xdr:cNvPr id="38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D9962FB0-3307-496A-AB28-03EA09CDE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3</xdr:row>
      <xdr:rowOff>45720</xdr:rowOff>
    </xdr:from>
    <xdr:ext cx="152400" cy="89535"/>
    <xdr:pic>
      <xdr:nvPicPr>
        <xdr:cNvPr id="38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5AB4672-36E0-4B47-9398-3596EE44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3</xdr:row>
      <xdr:rowOff>60960</xdr:rowOff>
    </xdr:from>
    <xdr:ext cx="163830" cy="110490"/>
    <xdr:pic>
      <xdr:nvPicPr>
        <xdr:cNvPr id="39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6A9302E0-3FFD-48BA-B68B-3874B2895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6324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3</xdr:row>
      <xdr:rowOff>45720</xdr:rowOff>
    </xdr:from>
    <xdr:ext cx="152400" cy="89535"/>
    <xdr:pic>
      <xdr:nvPicPr>
        <xdr:cNvPr id="39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4A50E86-817C-4E5B-9DC2-3E29DED78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6172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4</xdr:row>
      <xdr:rowOff>60960</xdr:rowOff>
    </xdr:from>
    <xdr:ext cx="163830" cy="110490"/>
    <xdr:pic>
      <xdr:nvPicPr>
        <xdr:cNvPr id="39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E9564501-4B7B-45B3-A9A9-28844EF8B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4</xdr:row>
      <xdr:rowOff>45720</xdr:rowOff>
    </xdr:from>
    <xdr:ext cx="152400" cy="89535"/>
    <xdr:pic>
      <xdr:nvPicPr>
        <xdr:cNvPr id="39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E260618-A7F1-43D9-85BE-11D5D19DD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4</xdr:row>
      <xdr:rowOff>60960</xdr:rowOff>
    </xdr:from>
    <xdr:ext cx="163830" cy="110490"/>
    <xdr:pic>
      <xdr:nvPicPr>
        <xdr:cNvPr id="39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50A1BDD9-E855-4C28-B6F4-B46D026AA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4</xdr:row>
      <xdr:rowOff>45720</xdr:rowOff>
    </xdr:from>
    <xdr:ext cx="152400" cy="89535"/>
    <xdr:pic>
      <xdr:nvPicPr>
        <xdr:cNvPr id="39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AFE037F-F95B-4746-8EDB-2C0B67258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769620</xdr:colOff>
      <xdr:row>4</xdr:row>
      <xdr:rowOff>60960</xdr:rowOff>
    </xdr:from>
    <xdr:ext cx="163830" cy="110490"/>
    <xdr:pic>
      <xdr:nvPicPr>
        <xdr:cNvPr id="39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4C4E5DFD-5DB9-4316-9240-C3C279E63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739140</xdr:colOff>
      <xdr:row>4</xdr:row>
      <xdr:rowOff>45720</xdr:rowOff>
    </xdr:from>
    <xdr:ext cx="152400" cy="89535"/>
    <xdr:pic>
      <xdr:nvPicPr>
        <xdr:cNvPr id="39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F960AE42-67D4-4BBE-9A17-4D6DAAE84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769620</xdr:colOff>
      <xdr:row>4</xdr:row>
      <xdr:rowOff>60960</xdr:rowOff>
    </xdr:from>
    <xdr:ext cx="163830" cy="110490"/>
    <xdr:pic>
      <xdr:nvPicPr>
        <xdr:cNvPr id="39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9588402-2246-4398-AF84-8E8845B26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739140</xdr:colOff>
      <xdr:row>4</xdr:row>
      <xdr:rowOff>45720</xdr:rowOff>
    </xdr:from>
    <xdr:ext cx="152400" cy="89535"/>
    <xdr:pic>
      <xdr:nvPicPr>
        <xdr:cNvPr id="39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F7D6A0C-379B-4C1D-AB92-552677FFC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4</xdr:row>
      <xdr:rowOff>60960</xdr:rowOff>
    </xdr:from>
    <xdr:ext cx="163830" cy="110490"/>
    <xdr:pic>
      <xdr:nvPicPr>
        <xdr:cNvPr id="40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6C42C2B-31E6-4276-B389-816007AAA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4</xdr:row>
      <xdr:rowOff>45720</xdr:rowOff>
    </xdr:from>
    <xdr:ext cx="152400" cy="89535"/>
    <xdr:pic>
      <xdr:nvPicPr>
        <xdr:cNvPr id="40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2D573B0-41DB-48A3-8EA2-6329EC754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4</xdr:row>
      <xdr:rowOff>60960</xdr:rowOff>
    </xdr:from>
    <xdr:ext cx="163830" cy="110490"/>
    <xdr:pic>
      <xdr:nvPicPr>
        <xdr:cNvPr id="40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4A62AB0B-5954-4AD0-A3DC-CD4B5186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4</xdr:row>
      <xdr:rowOff>45720</xdr:rowOff>
    </xdr:from>
    <xdr:ext cx="152400" cy="89535"/>
    <xdr:pic>
      <xdr:nvPicPr>
        <xdr:cNvPr id="40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5470D5A1-7AB8-4B61-9B77-B1A167C60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4</xdr:row>
      <xdr:rowOff>60960</xdr:rowOff>
    </xdr:from>
    <xdr:ext cx="163830" cy="110490"/>
    <xdr:pic>
      <xdr:nvPicPr>
        <xdr:cNvPr id="40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6880277A-7F29-4A60-AAF7-D0D6B2037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4</xdr:row>
      <xdr:rowOff>45720</xdr:rowOff>
    </xdr:from>
    <xdr:ext cx="152400" cy="89535"/>
    <xdr:pic>
      <xdr:nvPicPr>
        <xdr:cNvPr id="40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B1E49E77-C646-4516-A756-029C3CF52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4</xdr:row>
      <xdr:rowOff>60960</xdr:rowOff>
    </xdr:from>
    <xdr:ext cx="163830" cy="110490"/>
    <xdr:pic>
      <xdr:nvPicPr>
        <xdr:cNvPr id="40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40E81E7-7F8C-4033-A57D-F5C9EF74B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4</xdr:row>
      <xdr:rowOff>45720</xdr:rowOff>
    </xdr:from>
    <xdr:ext cx="152400" cy="89535"/>
    <xdr:pic>
      <xdr:nvPicPr>
        <xdr:cNvPr id="40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184CA4CB-15ED-415F-A789-2DD3C9195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769620</xdr:colOff>
      <xdr:row>4</xdr:row>
      <xdr:rowOff>60960</xdr:rowOff>
    </xdr:from>
    <xdr:ext cx="163830" cy="110490"/>
    <xdr:pic>
      <xdr:nvPicPr>
        <xdr:cNvPr id="40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D5E3DAAD-31F1-470C-8DDA-E709F9386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995" y="82296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739140</xdr:colOff>
      <xdr:row>4</xdr:row>
      <xdr:rowOff>45720</xdr:rowOff>
    </xdr:from>
    <xdr:ext cx="152400" cy="89535"/>
    <xdr:pic>
      <xdr:nvPicPr>
        <xdr:cNvPr id="40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C309DF8-D047-47BC-9FBD-0C536CA04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515" y="8077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15</xdr:row>
      <xdr:rowOff>0</xdr:rowOff>
    </xdr:from>
    <xdr:ext cx="152400" cy="91440"/>
    <xdr:pic>
      <xdr:nvPicPr>
        <xdr:cNvPr id="193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1F905DB4-7ED7-49BD-925A-41E83E807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8780" y="219456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1002030</xdr:colOff>
      <xdr:row>15</xdr:row>
      <xdr:rowOff>60960</xdr:rowOff>
    </xdr:from>
    <xdr:ext cx="152400" cy="99060"/>
    <xdr:pic>
      <xdr:nvPicPr>
        <xdr:cNvPr id="20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C05DA1F-05D3-4B11-8D9D-4B03569FF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2310" y="225552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27</xdr:row>
      <xdr:rowOff>45720</xdr:rowOff>
    </xdr:from>
    <xdr:ext cx="152400" cy="89535"/>
    <xdr:pic>
      <xdr:nvPicPr>
        <xdr:cNvPr id="41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2082B50-276E-4810-B0FA-048707696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9601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152400" cy="91440"/>
    <xdr:pic>
      <xdr:nvPicPr>
        <xdr:cNvPr id="411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F20A09BB-2F73-483A-AA7E-75C47A609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8780" y="219456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1002030</xdr:colOff>
      <xdr:row>34</xdr:row>
      <xdr:rowOff>60960</xdr:rowOff>
    </xdr:from>
    <xdr:ext cx="152400" cy="99060"/>
    <xdr:pic>
      <xdr:nvPicPr>
        <xdr:cNvPr id="41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16FF33A-7FFB-48C6-9D7C-806833C9A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2310" y="225552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24</xdr:row>
      <xdr:rowOff>60960</xdr:rowOff>
    </xdr:from>
    <xdr:ext cx="163830" cy="110490"/>
    <xdr:pic>
      <xdr:nvPicPr>
        <xdr:cNvPr id="41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D6BB3A57-5ADB-4540-89F2-A305ED691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42672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24</xdr:row>
      <xdr:rowOff>45720</xdr:rowOff>
    </xdr:from>
    <xdr:ext cx="152400" cy="89535"/>
    <xdr:pic>
      <xdr:nvPicPr>
        <xdr:cNvPr id="41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AF03480-4076-4148-8BDD-26AD75BF4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41148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41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2E68705-210E-40A3-839C-8AC33EF7F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41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164E2B4A-4ECC-44D9-91DA-B96431C1D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30</xdr:row>
      <xdr:rowOff>60960</xdr:rowOff>
    </xdr:from>
    <xdr:ext cx="163830" cy="110490"/>
    <xdr:pic>
      <xdr:nvPicPr>
        <xdr:cNvPr id="41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68D5F890-BEA4-4B98-91DE-440B413BC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15240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30</xdr:row>
      <xdr:rowOff>45720</xdr:rowOff>
    </xdr:from>
    <xdr:ext cx="152400" cy="89535"/>
    <xdr:pic>
      <xdr:nvPicPr>
        <xdr:cNvPr id="41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F0B1F125-46D6-4E0C-89E8-D3D571EEC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15087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31</xdr:row>
      <xdr:rowOff>60960</xdr:rowOff>
    </xdr:from>
    <xdr:ext cx="163830" cy="110490"/>
    <xdr:pic>
      <xdr:nvPicPr>
        <xdr:cNvPr id="41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8FEFA37-2E43-4F33-8FDC-CAEFC3C31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17068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31</xdr:row>
      <xdr:rowOff>45720</xdr:rowOff>
    </xdr:from>
    <xdr:ext cx="152400" cy="89535"/>
    <xdr:pic>
      <xdr:nvPicPr>
        <xdr:cNvPr id="42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571DEC4-06D7-4DAD-BE65-923335A84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16916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42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6B23DD56-57EE-4BE3-B337-587518442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42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A3363AD-DDB3-4D43-A721-A73E251C8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24</xdr:row>
      <xdr:rowOff>60960</xdr:rowOff>
    </xdr:from>
    <xdr:ext cx="163830" cy="110490"/>
    <xdr:pic>
      <xdr:nvPicPr>
        <xdr:cNvPr id="42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D012F2CC-A921-411E-9F6A-1D3E34338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42672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24</xdr:row>
      <xdr:rowOff>45720</xdr:rowOff>
    </xdr:from>
    <xdr:ext cx="152400" cy="89535"/>
    <xdr:pic>
      <xdr:nvPicPr>
        <xdr:cNvPr id="42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E832D78-00A3-4ABA-A9AA-EFFD1A432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41148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25</xdr:row>
      <xdr:rowOff>60960</xdr:rowOff>
    </xdr:from>
    <xdr:ext cx="163830" cy="110490"/>
    <xdr:pic>
      <xdr:nvPicPr>
        <xdr:cNvPr id="42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22F669AB-7AE5-4427-9A1C-4C72AE47F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25</xdr:row>
      <xdr:rowOff>45720</xdr:rowOff>
    </xdr:from>
    <xdr:ext cx="152400" cy="89535"/>
    <xdr:pic>
      <xdr:nvPicPr>
        <xdr:cNvPr id="42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10DA376-1C6F-4BE2-AE91-8DBC68796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792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25</xdr:row>
      <xdr:rowOff>60960</xdr:rowOff>
    </xdr:from>
    <xdr:ext cx="163830" cy="110490"/>
    <xdr:pic>
      <xdr:nvPicPr>
        <xdr:cNvPr id="42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4785CC08-DC08-4B7B-8958-758B18790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25</xdr:row>
      <xdr:rowOff>45720</xdr:rowOff>
    </xdr:from>
    <xdr:ext cx="152400" cy="89535"/>
    <xdr:pic>
      <xdr:nvPicPr>
        <xdr:cNvPr id="42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4D1BEAA-8A1E-49A4-BA1A-BDC176157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792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42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CB5DCF64-21A5-44B1-BC41-13B414F15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43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697BA1E8-B7B8-4864-B300-F6A5D3683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43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4C1D943D-2253-4C3D-B7F8-EE785E90E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43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1423BE3-0212-4928-9F47-8F29FC3F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0</xdr:rowOff>
    </xdr:from>
    <xdr:ext cx="152400" cy="91440"/>
    <xdr:pic>
      <xdr:nvPicPr>
        <xdr:cNvPr id="433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83F1AB49-C685-48F0-B5B1-6CE1A35B9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8780" y="27432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0</xdr:rowOff>
    </xdr:from>
    <xdr:ext cx="152400" cy="91440"/>
    <xdr:pic>
      <xdr:nvPicPr>
        <xdr:cNvPr id="434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B4F77A05-809B-4AB5-9B61-CE76FB77A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27432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0</xdr:rowOff>
    </xdr:from>
    <xdr:ext cx="152400" cy="91440"/>
    <xdr:pic>
      <xdr:nvPicPr>
        <xdr:cNvPr id="435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FB828195-989D-4292-81C4-7468AA785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8780" y="256032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0</xdr:rowOff>
    </xdr:from>
    <xdr:ext cx="152400" cy="91440"/>
    <xdr:pic>
      <xdr:nvPicPr>
        <xdr:cNvPr id="436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0815511E-FEA8-4AB3-BF62-A8BE7E07C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256032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28</xdr:row>
      <xdr:rowOff>45720</xdr:rowOff>
    </xdr:from>
    <xdr:ext cx="152400" cy="89535"/>
    <xdr:pic>
      <xdr:nvPicPr>
        <xdr:cNvPr id="43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5486507-0257-47E4-9B3C-162AC788B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7920" y="114300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27</xdr:row>
      <xdr:rowOff>45720</xdr:rowOff>
    </xdr:from>
    <xdr:ext cx="152400" cy="89535"/>
    <xdr:pic>
      <xdr:nvPicPr>
        <xdr:cNvPr id="43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6A111C7-7EF6-4718-ACAF-1B0632FF6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9601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24</xdr:row>
      <xdr:rowOff>60960</xdr:rowOff>
    </xdr:from>
    <xdr:ext cx="163830" cy="110490"/>
    <xdr:pic>
      <xdr:nvPicPr>
        <xdr:cNvPr id="43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8A5EA6D7-5E9B-47F0-BF59-A481FA578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42672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24</xdr:row>
      <xdr:rowOff>45720</xdr:rowOff>
    </xdr:from>
    <xdr:ext cx="152400" cy="89535"/>
    <xdr:pic>
      <xdr:nvPicPr>
        <xdr:cNvPr id="44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52A76DBA-47EE-4C4C-BBF9-55A73FCDF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41148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44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6A8D4D92-67A4-460C-9BC7-88485A15E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44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1F1A6541-2EA0-4219-A6FA-AD740AEB3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30</xdr:row>
      <xdr:rowOff>60960</xdr:rowOff>
    </xdr:from>
    <xdr:ext cx="163830" cy="110490"/>
    <xdr:pic>
      <xdr:nvPicPr>
        <xdr:cNvPr id="44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FEE1BF0C-47B7-4E3E-9633-21387EC44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15240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30</xdr:row>
      <xdr:rowOff>45720</xdr:rowOff>
    </xdr:from>
    <xdr:ext cx="152400" cy="89535"/>
    <xdr:pic>
      <xdr:nvPicPr>
        <xdr:cNvPr id="44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C5FA166-8DFD-4ECC-B916-13313D6C0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15087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31</xdr:row>
      <xdr:rowOff>60960</xdr:rowOff>
    </xdr:from>
    <xdr:ext cx="163830" cy="110490"/>
    <xdr:pic>
      <xdr:nvPicPr>
        <xdr:cNvPr id="44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2C16E779-1A1F-4557-886D-DADDAF1DB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17068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31</xdr:row>
      <xdr:rowOff>45720</xdr:rowOff>
    </xdr:from>
    <xdr:ext cx="152400" cy="89535"/>
    <xdr:pic>
      <xdr:nvPicPr>
        <xdr:cNvPr id="44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A8CEF76F-9F36-41DB-A6F8-0272347BB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16916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44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08786FD7-38B7-45D9-8D9F-A37ADB615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44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464D877-6F89-4093-92D7-37077AF44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24</xdr:row>
      <xdr:rowOff>60960</xdr:rowOff>
    </xdr:from>
    <xdr:ext cx="163830" cy="110490"/>
    <xdr:pic>
      <xdr:nvPicPr>
        <xdr:cNvPr id="44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82005B1C-B59D-4798-9A55-D2DD441F8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42672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24</xdr:row>
      <xdr:rowOff>45720</xdr:rowOff>
    </xdr:from>
    <xdr:ext cx="152400" cy="89535"/>
    <xdr:pic>
      <xdr:nvPicPr>
        <xdr:cNvPr id="45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FA44BE8E-E48B-495C-AC46-7601D1CDC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41148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25</xdr:row>
      <xdr:rowOff>60960</xdr:rowOff>
    </xdr:from>
    <xdr:ext cx="163830" cy="110490"/>
    <xdr:pic>
      <xdr:nvPicPr>
        <xdr:cNvPr id="45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F79A825E-AA87-4B41-AA7B-26927420C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25</xdr:row>
      <xdr:rowOff>45720</xdr:rowOff>
    </xdr:from>
    <xdr:ext cx="152400" cy="89535"/>
    <xdr:pic>
      <xdr:nvPicPr>
        <xdr:cNvPr id="45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165739F-4E8B-4416-8B63-2294FF6EE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792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25</xdr:row>
      <xdr:rowOff>60960</xdr:rowOff>
    </xdr:from>
    <xdr:ext cx="163830" cy="110490"/>
    <xdr:pic>
      <xdr:nvPicPr>
        <xdr:cNvPr id="45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4470F255-7FAE-40CF-91AF-271A5BDA2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25</xdr:row>
      <xdr:rowOff>45720</xdr:rowOff>
    </xdr:from>
    <xdr:ext cx="152400" cy="89535"/>
    <xdr:pic>
      <xdr:nvPicPr>
        <xdr:cNvPr id="45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10D884DB-5C99-4F2F-B31D-D4BE92CB3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792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45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2D73BC40-F84B-4327-804B-4B82B0CD7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45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FC80D6A2-9C6D-41FD-8C94-5353B5E5F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45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415F927-EC39-4DB8-A2ED-F184E0780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45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FCD03B11-6535-4D47-9A60-25ED248B9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26</xdr:row>
      <xdr:rowOff>60960</xdr:rowOff>
    </xdr:from>
    <xdr:ext cx="163830" cy="110490"/>
    <xdr:pic>
      <xdr:nvPicPr>
        <xdr:cNvPr id="45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228F3CE1-4296-4DB2-A7F4-8E4AACD0E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26</xdr:row>
      <xdr:rowOff>45720</xdr:rowOff>
    </xdr:from>
    <xdr:ext cx="152400" cy="89535"/>
    <xdr:pic>
      <xdr:nvPicPr>
        <xdr:cNvPr id="46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7F8A6C74-BC72-4AE0-AB7F-04393860F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26</xdr:row>
      <xdr:rowOff>60960</xdr:rowOff>
    </xdr:from>
    <xdr:ext cx="163830" cy="110490"/>
    <xdr:pic>
      <xdr:nvPicPr>
        <xdr:cNvPr id="46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1506AA1-5D19-4FC7-8458-CCD8DF52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26</xdr:row>
      <xdr:rowOff>45720</xdr:rowOff>
    </xdr:from>
    <xdr:ext cx="152400" cy="89535"/>
    <xdr:pic>
      <xdr:nvPicPr>
        <xdr:cNvPr id="46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3CB49C68-7B61-4194-A318-53835A4EF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26</xdr:row>
      <xdr:rowOff>60960</xdr:rowOff>
    </xdr:from>
    <xdr:ext cx="163830" cy="110490"/>
    <xdr:pic>
      <xdr:nvPicPr>
        <xdr:cNvPr id="46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545E213C-0303-46B7-9A14-C389C3845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26</xdr:row>
      <xdr:rowOff>45720</xdr:rowOff>
    </xdr:from>
    <xdr:ext cx="152400" cy="89535"/>
    <xdr:pic>
      <xdr:nvPicPr>
        <xdr:cNvPr id="46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EB0AED1-568A-41A1-B021-0D9366B71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792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26</xdr:row>
      <xdr:rowOff>60960</xdr:rowOff>
    </xdr:from>
    <xdr:ext cx="163830" cy="110490"/>
    <xdr:pic>
      <xdr:nvPicPr>
        <xdr:cNvPr id="46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D4C3F48B-0751-491E-8038-F180812A8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26</xdr:row>
      <xdr:rowOff>45720</xdr:rowOff>
    </xdr:from>
    <xdr:ext cx="152400" cy="89535"/>
    <xdr:pic>
      <xdr:nvPicPr>
        <xdr:cNvPr id="46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4C1F521-215A-4F52-ACB5-535A079ED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792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26</xdr:row>
      <xdr:rowOff>60960</xdr:rowOff>
    </xdr:from>
    <xdr:ext cx="163830" cy="110490"/>
    <xdr:pic>
      <xdr:nvPicPr>
        <xdr:cNvPr id="467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A2B12493-1C80-42D2-B65F-166211F37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26</xdr:row>
      <xdr:rowOff>45720</xdr:rowOff>
    </xdr:from>
    <xdr:ext cx="152400" cy="89535"/>
    <xdr:pic>
      <xdr:nvPicPr>
        <xdr:cNvPr id="46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A2036756-D372-451D-A856-3F3E1AC57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26</xdr:row>
      <xdr:rowOff>60960</xdr:rowOff>
    </xdr:from>
    <xdr:ext cx="163830" cy="110490"/>
    <xdr:pic>
      <xdr:nvPicPr>
        <xdr:cNvPr id="469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A01D1850-4EFB-4F7D-9493-965D2C5D2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26</xdr:row>
      <xdr:rowOff>45720</xdr:rowOff>
    </xdr:from>
    <xdr:ext cx="152400" cy="89535"/>
    <xdr:pic>
      <xdr:nvPicPr>
        <xdr:cNvPr id="470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59FEAB2-C817-4706-9603-F80B061ED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26</xdr:row>
      <xdr:rowOff>60960</xdr:rowOff>
    </xdr:from>
    <xdr:ext cx="163830" cy="110490"/>
    <xdr:pic>
      <xdr:nvPicPr>
        <xdr:cNvPr id="471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A8D35986-2636-4001-9D2D-C0470F836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26</xdr:row>
      <xdr:rowOff>45720</xdr:rowOff>
    </xdr:from>
    <xdr:ext cx="152400" cy="89535"/>
    <xdr:pic>
      <xdr:nvPicPr>
        <xdr:cNvPr id="472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2C7DD91-8E5A-4AAC-9056-8832020BA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26</xdr:row>
      <xdr:rowOff>60960</xdr:rowOff>
    </xdr:from>
    <xdr:ext cx="163830" cy="110490"/>
    <xdr:pic>
      <xdr:nvPicPr>
        <xdr:cNvPr id="473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4635DDA6-90F8-4787-989E-7F03B855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26</xdr:row>
      <xdr:rowOff>45720</xdr:rowOff>
    </xdr:from>
    <xdr:ext cx="152400" cy="89535"/>
    <xdr:pic>
      <xdr:nvPicPr>
        <xdr:cNvPr id="474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BB916E0-D02E-4839-93C7-B89DB2DED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26</xdr:row>
      <xdr:rowOff>60960</xdr:rowOff>
    </xdr:from>
    <xdr:ext cx="163830" cy="110490"/>
    <xdr:pic>
      <xdr:nvPicPr>
        <xdr:cNvPr id="475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0337097C-3236-44AC-8951-F6A80D27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26</xdr:row>
      <xdr:rowOff>45720</xdr:rowOff>
    </xdr:from>
    <xdr:ext cx="152400" cy="89535"/>
    <xdr:pic>
      <xdr:nvPicPr>
        <xdr:cNvPr id="47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ACB72463-CDDB-4807-8716-87689178C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0</xdr:rowOff>
    </xdr:from>
    <xdr:ext cx="152400" cy="91440"/>
    <xdr:pic>
      <xdr:nvPicPr>
        <xdr:cNvPr id="477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A4060D77-D2EF-4D50-A25C-28855569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8780" y="27432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1002030</xdr:colOff>
      <xdr:row>37</xdr:row>
      <xdr:rowOff>60960</xdr:rowOff>
    </xdr:from>
    <xdr:ext cx="152400" cy="99060"/>
    <xdr:pic>
      <xdr:nvPicPr>
        <xdr:cNvPr id="478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205DA0D5-2846-4BD1-8195-CAEBFC609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2310" y="280416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27</xdr:row>
      <xdr:rowOff>45720</xdr:rowOff>
    </xdr:from>
    <xdr:ext cx="152400" cy="89535"/>
    <xdr:pic>
      <xdr:nvPicPr>
        <xdr:cNvPr id="47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5BCA96C3-8542-45F6-93EF-B245E6183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9601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152400" cy="91440"/>
    <xdr:pic>
      <xdr:nvPicPr>
        <xdr:cNvPr id="480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27C6B697-E1A5-41AE-AE3F-55C1D1249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8780" y="219456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1002030</xdr:colOff>
      <xdr:row>34</xdr:row>
      <xdr:rowOff>60960</xdr:rowOff>
    </xdr:from>
    <xdr:ext cx="152400" cy="99060"/>
    <xdr:pic>
      <xdr:nvPicPr>
        <xdr:cNvPr id="48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0C7C2D9-0C00-4B68-8A5F-35DBB7B75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2310" y="225552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24</xdr:row>
      <xdr:rowOff>60960</xdr:rowOff>
    </xdr:from>
    <xdr:ext cx="163830" cy="110490"/>
    <xdr:pic>
      <xdr:nvPicPr>
        <xdr:cNvPr id="48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2315D34E-90F4-413F-AB5A-151E15265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42672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24</xdr:row>
      <xdr:rowOff>45720</xdr:rowOff>
    </xdr:from>
    <xdr:ext cx="152400" cy="89535"/>
    <xdr:pic>
      <xdr:nvPicPr>
        <xdr:cNvPr id="48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BCE5B8F-0679-4FC1-B74C-14595FB74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41148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48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5827823-D23E-4DEC-9F24-782CCAB1B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48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6188F85D-1EA2-4D0A-9FC9-47D91B09F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30</xdr:row>
      <xdr:rowOff>60960</xdr:rowOff>
    </xdr:from>
    <xdr:ext cx="163830" cy="110490"/>
    <xdr:pic>
      <xdr:nvPicPr>
        <xdr:cNvPr id="48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00BB552E-39D9-4724-96DF-EA1F359FB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15240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30</xdr:row>
      <xdr:rowOff>45720</xdr:rowOff>
    </xdr:from>
    <xdr:ext cx="152400" cy="89535"/>
    <xdr:pic>
      <xdr:nvPicPr>
        <xdr:cNvPr id="48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87B54BF-A181-4DAD-930E-442BE0EB4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15087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31</xdr:row>
      <xdr:rowOff>60960</xdr:rowOff>
    </xdr:from>
    <xdr:ext cx="163830" cy="110490"/>
    <xdr:pic>
      <xdr:nvPicPr>
        <xdr:cNvPr id="48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E95D93F9-4093-4286-B426-FAFA0CDE0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17068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31</xdr:row>
      <xdr:rowOff>45720</xdr:rowOff>
    </xdr:from>
    <xdr:ext cx="152400" cy="89535"/>
    <xdr:pic>
      <xdr:nvPicPr>
        <xdr:cNvPr id="48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1D1DB08-BE58-4E0D-B1D9-F7B9AEEE9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16916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49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F94D017A-F8A2-4739-B3E1-8DF403DCC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49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BA492D5-5218-43C3-8070-A206147B1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24</xdr:row>
      <xdr:rowOff>60960</xdr:rowOff>
    </xdr:from>
    <xdr:ext cx="163830" cy="110490"/>
    <xdr:pic>
      <xdr:nvPicPr>
        <xdr:cNvPr id="49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61625395-68F0-4F94-9A16-83C82F3F9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42672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24</xdr:row>
      <xdr:rowOff>45720</xdr:rowOff>
    </xdr:from>
    <xdr:ext cx="152400" cy="89535"/>
    <xdr:pic>
      <xdr:nvPicPr>
        <xdr:cNvPr id="49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6D183402-39E7-4B0D-BAFF-7F458B935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41148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25</xdr:row>
      <xdr:rowOff>60960</xdr:rowOff>
    </xdr:from>
    <xdr:ext cx="163830" cy="110490"/>
    <xdr:pic>
      <xdr:nvPicPr>
        <xdr:cNvPr id="49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212872FB-399F-4978-AFC3-BE4377127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25</xdr:row>
      <xdr:rowOff>45720</xdr:rowOff>
    </xdr:from>
    <xdr:ext cx="152400" cy="89535"/>
    <xdr:pic>
      <xdr:nvPicPr>
        <xdr:cNvPr id="49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434BA20-E486-4AF9-AC2C-8C50E5204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792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25</xdr:row>
      <xdr:rowOff>60960</xdr:rowOff>
    </xdr:from>
    <xdr:ext cx="163830" cy="110490"/>
    <xdr:pic>
      <xdr:nvPicPr>
        <xdr:cNvPr id="49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D01FA67-5171-4408-832C-068CDF98D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25</xdr:row>
      <xdr:rowOff>45720</xdr:rowOff>
    </xdr:from>
    <xdr:ext cx="152400" cy="89535"/>
    <xdr:pic>
      <xdr:nvPicPr>
        <xdr:cNvPr id="49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26E18A7B-9EB5-4805-806D-636495AA8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792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49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5ADE1367-7EAD-491D-BD81-0AE3332B5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49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BAE780BC-DF11-4DCA-8B63-BC2ABB0CD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50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46E8933-635F-4B30-A772-508C742D6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50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1ED6A84D-5E24-4AFA-844C-79E21C6C8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0</xdr:rowOff>
    </xdr:from>
    <xdr:ext cx="152400" cy="91440"/>
    <xdr:pic>
      <xdr:nvPicPr>
        <xdr:cNvPr id="502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F0732DE7-AC40-4EB2-ADCF-D8FE81C45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8780" y="27432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0</xdr:rowOff>
    </xdr:from>
    <xdr:ext cx="152400" cy="91440"/>
    <xdr:pic>
      <xdr:nvPicPr>
        <xdr:cNvPr id="503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D86FE559-6DD9-4390-B376-3E779CF83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27432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0</xdr:rowOff>
    </xdr:from>
    <xdr:ext cx="152400" cy="91440"/>
    <xdr:pic>
      <xdr:nvPicPr>
        <xdr:cNvPr id="504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4BC568D0-1249-414B-AB3D-6D922BB5C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8780" y="256032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0</xdr:rowOff>
    </xdr:from>
    <xdr:ext cx="152400" cy="91440"/>
    <xdr:pic>
      <xdr:nvPicPr>
        <xdr:cNvPr id="505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D12F94A5-9862-4575-A163-1EE2843A5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256032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28</xdr:row>
      <xdr:rowOff>45720</xdr:rowOff>
    </xdr:from>
    <xdr:ext cx="152400" cy="89535"/>
    <xdr:pic>
      <xdr:nvPicPr>
        <xdr:cNvPr id="506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DB7FF78-4D8B-4460-B0F7-EE06CF7B1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7920" y="114300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27</xdr:row>
      <xdr:rowOff>45720</xdr:rowOff>
    </xdr:from>
    <xdr:ext cx="152400" cy="89535"/>
    <xdr:pic>
      <xdr:nvPicPr>
        <xdr:cNvPr id="50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14EFC386-0073-44A4-A401-875CAAFF3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96012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24</xdr:row>
      <xdr:rowOff>60960</xdr:rowOff>
    </xdr:from>
    <xdr:ext cx="163830" cy="110490"/>
    <xdr:pic>
      <xdr:nvPicPr>
        <xdr:cNvPr id="50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788B5EAD-598B-40BE-BA65-A1DA53A52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42672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24</xdr:row>
      <xdr:rowOff>45720</xdr:rowOff>
    </xdr:from>
    <xdr:ext cx="152400" cy="89535"/>
    <xdr:pic>
      <xdr:nvPicPr>
        <xdr:cNvPr id="50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74332F86-D28E-4452-A98F-03AA5C9A2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41148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51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A83310CC-46E1-4B2C-B505-A6A902B9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51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DA9FEEA9-5D60-4F30-869A-35A25EA26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30</xdr:row>
      <xdr:rowOff>60960</xdr:rowOff>
    </xdr:from>
    <xdr:ext cx="163830" cy="110490"/>
    <xdr:pic>
      <xdr:nvPicPr>
        <xdr:cNvPr id="51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9255221C-A407-40B0-97FD-3E49B9A03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15240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30</xdr:row>
      <xdr:rowOff>45720</xdr:rowOff>
    </xdr:from>
    <xdr:ext cx="152400" cy="89535"/>
    <xdr:pic>
      <xdr:nvPicPr>
        <xdr:cNvPr id="51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A8A4A02-2259-4BAD-8DD7-2D9D21ADB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15087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31</xdr:row>
      <xdr:rowOff>60960</xdr:rowOff>
    </xdr:from>
    <xdr:ext cx="163830" cy="110490"/>
    <xdr:pic>
      <xdr:nvPicPr>
        <xdr:cNvPr id="51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ACD3A865-A225-43FA-B66C-B8123CC4B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17068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31</xdr:row>
      <xdr:rowOff>45720</xdr:rowOff>
    </xdr:from>
    <xdr:ext cx="152400" cy="89535"/>
    <xdr:pic>
      <xdr:nvPicPr>
        <xdr:cNvPr id="51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562CCA8-6D4B-40DC-A42E-BAC9634D7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16916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51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6F622AE7-27F5-4EE7-8B17-8B162237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51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FC8E9D76-252E-46BF-B1A6-ED573DE00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24</xdr:row>
      <xdr:rowOff>60960</xdr:rowOff>
    </xdr:from>
    <xdr:ext cx="163830" cy="110490"/>
    <xdr:pic>
      <xdr:nvPicPr>
        <xdr:cNvPr id="51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1C691A3-19E1-4043-B4EA-A5898250F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42672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25</xdr:row>
      <xdr:rowOff>60960</xdr:rowOff>
    </xdr:from>
    <xdr:ext cx="163830" cy="110490"/>
    <xdr:pic>
      <xdr:nvPicPr>
        <xdr:cNvPr id="52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580B03F2-5C14-4912-857D-8118236BA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25</xdr:row>
      <xdr:rowOff>45720</xdr:rowOff>
    </xdr:from>
    <xdr:ext cx="152400" cy="89535"/>
    <xdr:pic>
      <xdr:nvPicPr>
        <xdr:cNvPr id="52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EF548B7B-0EB0-4CB5-8B65-DEA917656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792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25</xdr:row>
      <xdr:rowOff>60960</xdr:rowOff>
    </xdr:from>
    <xdr:ext cx="163830" cy="110490"/>
    <xdr:pic>
      <xdr:nvPicPr>
        <xdr:cNvPr id="52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02DBE604-0590-40BD-97B7-49B5C3303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52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0A0C5FE4-91BD-490F-92E4-1A3E31701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52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5395A9CC-70BE-45A5-B62B-178F620C5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25</xdr:row>
      <xdr:rowOff>60960</xdr:rowOff>
    </xdr:from>
    <xdr:ext cx="163830" cy="110490"/>
    <xdr:pic>
      <xdr:nvPicPr>
        <xdr:cNvPr id="52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BCD6BE86-00ED-4DF7-B944-9F9DF09D0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0960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25</xdr:row>
      <xdr:rowOff>45720</xdr:rowOff>
    </xdr:from>
    <xdr:ext cx="152400" cy="89535"/>
    <xdr:pic>
      <xdr:nvPicPr>
        <xdr:cNvPr id="52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3F943A24-2277-4873-A352-CBC4339B7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59436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26</xdr:row>
      <xdr:rowOff>60960</xdr:rowOff>
    </xdr:from>
    <xdr:ext cx="163830" cy="110490"/>
    <xdr:pic>
      <xdr:nvPicPr>
        <xdr:cNvPr id="52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24AC729E-3CCA-4A9E-AD69-54D22685E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26</xdr:row>
      <xdr:rowOff>45720</xdr:rowOff>
    </xdr:from>
    <xdr:ext cx="152400" cy="89535"/>
    <xdr:pic>
      <xdr:nvPicPr>
        <xdr:cNvPr id="52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2667D04C-0C08-4CFC-97C8-63FA199D8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26</xdr:row>
      <xdr:rowOff>60960</xdr:rowOff>
    </xdr:from>
    <xdr:ext cx="163830" cy="110490"/>
    <xdr:pic>
      <xdr:nvPicPr>
        <xdr:cNvPr id="53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06A4880-6512-4844-8705-66B1ACD17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26</xdr:row>
      <xdr:rowOff>45720</xdr:rowOff>
    </xdr:from>
    <xdr:ext cx="152400" cy="89535"/>
    <xdr:pic>
      <xdr:nvPicPr>
        <xdr:cNvPr id="53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20553032-97AD-4D53-A53D-37829A669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26</xdr:row>
      <xdr:rowOff>60960</xdr:rowOff>
    </xdr:from>
    <xdr:ext cx="163830" cy="110490"/>
    <xdr:pic>
      <xdr:nvPicPr>
        <xdr:cNvPr id="53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0C5409BB-563A-4224-A528-0E6E34E5E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26</xdr:row>
      <xdr:rowOff>45720</xdr:rowOff>
    </xdr:from>
    <xdr:ext cx="152400" cy="89535"/>
    <xdr:pic>
      <xdr:nvPicPr>
        <xdr:cNvPr id="53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9A585B0D-2E4B-4995-BD3D-F97203383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792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769620</xdr:colOff>
      <xdr:row>26</xdr:row>
      <xdr:rowOff>60960</xdr:rowOff>
    </xdr:from>
    <xdr:ext cx="163830" cy="110490"/>
    <xdr:pic>
      <xdr:nvPicPr>
        <xdr:cNvPr id="53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2C69F5AF-FBB6-4CC7-A1F5-5D14BC731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739140</xdr:colOff>
      <xdr:row>26</xdr:row>
      <xdr:rowOff>45720</xdr:rowOff>
    </xdr:from>
    <xdr:ext cx="152400" cy="89535"/>
    <xdr:pic>
      <xdr:nvPicPr>
        <xdr:cNvPr id="53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A8E31E73-C6CD-497A-93DD-EE3618A2F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792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26</xdr:row>
      <xdr:rowOff>60960</xdr:rowOff>
    </xdr:from>
    <xdr:ext cx="163830" cy="110490"/>
    <xdr:pic>
      <xdr:nvPicPr>
        <xdr:cNvPr id="536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1DCED31C-8F68-45E4-AACE-5124F188F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26</xdr:row>
      <xdr:rowOff>45720</xdr:rowOff>
    </xdr:from>
    <xdr:ext cx="152400" cy="89535"/>
    <xdr:pic>
      <xdr:nvPicPr>
        <xdr:cNvPr id="53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864C14CC-EABE-445E-A72B-CC5DC3D91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26</xdr:row>
      <xdr:rowOff>60960</xdr:rowOff>
    </xdr:from>
    <xdr:ext cx="163830" cy="110490"/>
    <xdr:pic>
      <xdr:nvPicPr>
        <xdr:cNvPr id="538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F61968A6-FDAA-452A-B895-73FBF426C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26</xdr:row>
      <xdr:rowOff>45720</xdr:rowOff>
    </xdr:from>
    <xdr:ext cx="152400" cy="89535"/>
    <xdr:pic>
      <xdr:nvPicPr>
        <xdr:cNvPr id="539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071DB081-EE0D-4213-9B75-05BB72570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26</xdr:row>
      <xdr:rowOff>60960</xdr:rowOff>
    </xdr:from>
    <xdr:ext cx="163830" cy="110490"/>
    <xdr:pic>
      <xdr:nvPicPr>
        <xdr:cNvPr id="540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58CE7BA6-CDAB-40D1-B56C-BC2702441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26</xdr:row>
      <xdr:rowOff>45720</xdr:rowOff>
    </xdr:from>
    <xdr:ext cx="152400" cy="89535"/>
    <xdr:pic>
      <xdr:nvPicPr>
        <xdr:cNvPr id="541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C3F15D4D-B22C-4405-B630-18C0BE55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26</xdr:row>
      <xdr:rowOff>60960</xdr:rowOff>
    </xdr:from>
    <xdr:ext cx="163830" cy="110490"/>
    <xdr:pic>
      <xdr:nvPicPr>
        <xdr:cNvPr id="542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3371BE81-EE32-435D-94F0-5C206E5D7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26</xdr:row>
      <xdr:rowOff>45720</xdr:rowOff>
    </xdr:from>
    <xdr:ext cx="152400" cy="89535"/>
    <xdr:pic>
      <xdr:nvPicPr>
        <xdr:cNvPr id="543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7E39FA19-4021-4E8E-A4A8-4F4F944FA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769620</xdr:colOff>
      <xdr:row>26</xdr:row>
      <xdr:rowOff>60960</xdr:rowOff>
    </xdr:from>
    <xdr:ext cx="163830" cy="110490"/>
    <xdr:pic>
      <xdr:nvPicPr>
        <xdr:cNvPr id="544" name="gdvTS_rw_11_MNOTE" descr="https://mnw12.ultipro.com/Nova4000/projectImage/misc/Space.gif">
          <a:extLst>
            <a:ext uri="{FF2B5EF4-FFF2-40B4-BE49-F238E27FC236}">
              <a16:creationId xmlns:a16="http://schemas.microsoft.com/office/drawing/2014/main" id="{592EBE4E-679B-462E-8B7A-F7FF52A2C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792480"/>
          <a:ext cx="163830" cy="1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739140</xdr:colOff>
      <xdr:row>26</xdr:row>
      <xdr:rowOff>45720</xdr:rowOff>
    </xdr:from>
    <xdr:ext cx="152400" cy="89535"/>
    <xdr:pic>
      <xdr:nvPicPr>
        <xdr:cNvPr id="545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40D7CC8C-0B5A-4652-AB51-B53A74031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777240"/>
          <a:ext cx="152400" cy="8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0</xdr:rowOff>
    </xdr:from>
    <xdr:ext cx="152400" cy="91440"/>
    <xdr:pic>
      <xdr:nvPicPr>
        <xdr:cNvPr id="546" name="gdvTS_rw_10_MNOTE" descr="https://mnw12.ultipro.com/Nova4000/projectImage/misc/Space.gif">
          <a:extLst>
            <a:ext uri="{FF2B5EF4-FFF2-40B4-BE49-F238E27FC236}">
              <a16:creationId xmlns:a16="http://schemas.microsoft.com/office/drawing/2014/main" id="{53E4A563-88E7-4D88-AA13-AB20A9E0F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8780" y="2743200"/>
          <a:ext cx="15240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1002030</xdr:colOff>
      <xdr:row>37</xdr:row>
      <xdr:rowOff>60960</xdr:rowOff>
    </xdr:from>
    <xdr:ext cx="152400" cy="99060"/>
    <xdr:pic>
      <xdr:nvPicPr>
        <xdr:cNvPr id="547" name="gdvTS_rw_14_MNOTE" descr="https://mnw12.ultipro.com/Nova4000/projectImage/misc/Space.gif">
          <a:extLst>
            <a:ext uri="{FF2B5EF4-FFF2-40B4-BE49-F238E27FC236}">
              <a16:creationId xmlns:a16="http://schemas.microsoft.com/office/drawing/2014/main" id="{7EF3108E-4B2C-48A7-A781-8C931EAF5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2310" y="2804160"/>
          <a:ext cx="1524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7D1F-3EB3-4791-AFBF-70E2A891636E}">
  <dimension ref="A1:O43"/>
  <sheetViews>
    <sheetView tabSelected="1" workbookViewId="0">
      <selection activeCell="E4" sqref="E4"/>
    </sheetView>
  </sheetViews>
  <sheetFormatPr defaultRowHeight="15" x14ac:dyDescent="0.25"/>
  <cols>
    <col min="2" max="2" width="18.7109375" style="1" bestFit="1" customWidth="1"/>
    <col min="3" max="3" width="18.85546875" style="1" bestFit="1" customWidth="1"/>
    <col min="4" max="4" width="8.5703125" bestFit="1" customWidth="1"/>
    <col min="5" max="5" width="7.140625" bestFit="1" customWidth="1"/>
    <col min="8" max="8" width="11.42578125" bestFit="1" customWidth="1"/>
    <col min="9" max="9" width="11.5703125" bestFit="1" customWidth="1"/>
  </cols>
  <sheetData>
    <row r="1" spans="1:15" x14ac:dyDescent="0.25">
      <c r="G1" s="18"/>
      <c r="H1" s="18"/>
      <c r="I1" s="18"/>
      <c r="J1" s="18"/>
      <c r="K1" s="18"/>
    </row>
    <row r="2" spans="1:15" x14ac:dyDescent="0.25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G2" s="2" t="s">
        <v>0</v>
      </c>
      <c r="H2" s="2" t="s">
        <v>1</v>
      </c>
      <c r="I2" s="2" t="s">
        <v>2</v>
      </c>
      <c r="J2" s="3" t="s">
        <v>3</v>
      </c>
      <c r="K2" s="3" t="s">
        <v>4</v>
      </c>
    </row>
    <row r="3" spans="1:15" x14ac:dyDescent="0.25">
      <c r="A3" s="16" t="s">
        <v>5</v>
      </c>
      <c r="B3" s="4">
        <v>0.28819444444444442</v>
      </c>
      <c r="C3" s="4">
        <v>0.52361111111111114</v>
      </c>
      <c r="D3" s="5">
        <f>(C3-B3)+(C4-B4)</f>
        <v>0.35</v>
      </c>
      <c r="E3" s="5"/>
      <c r="F3" s="6"/>
      <c r="G3" s="16" t="s">
        <v>5</v>
      </c>
      <c r="H3" s="4"/>
      <c r="I3" s="4"/>
      <c r="J3" s="5">
        <f>(I3-H3)+(I4-H4)</f>
        <v>0</v>
      </c>
      <c r="K3" s="5"/>
      <c r="M3" s="6"/>
      <c r="N3" s="6"/>
    </row>
    <row r="4" spans="1:15" x14ac:dyDescent="0.25">
      <c r="A4" s="17"/>
      <c r="B4" s="4">
        <v>0.55208333333333337</v>
      </c>
      <c r="C4" s="4">
        <v>0.66666666666666663</v>
      </c>
      <c r="D4" s="7"/>
      <c r="E4" s="5">
        <f>B4-C3</f>
        <v>2.8472222222222232E-2</v>
      </c>
      <c r="G4" s="17"/>
      <c r="H4" s="4"/>
      <c r="I4" s="4"/>
      <c r="J4" s="7"/>
      <c r="K4" s="5">
        <f>H4-I3</f>
        <v>0</v>
      </c>
      <c r="M4" s="6"/>
      <c r="N4" s="6"/>
    </row>
    <row r="5" spans="1:15" x14ac:dyDescent="0.25">
      <c r="A5" s="8"/>
      <c r="B5" s="9"/>
      <c r="C5" s="9"/>
      <c r="D5" s="5"/>
      <c r="E5" s="5"/>
      <c r="G5" s="8"/>
      <c r="H5" s="9"/>
      <c r="I5" s="9"/>
      <c r="J5" s="7"/>
      <c r="K5" s="5"/>
      <c r="M5" s="6"/>
      <c r="N5" s="6"/>
    </row>
    <row r="6" spans="1:15" x14ac:dyDescent="0.25">
      <c r="A6" s="19" t="s">
        <v>6</v>
      </c>
      <c r="B6" s="9"/>
      <c r="C6" s="9"/>
      <c r="D6" s="10">
        <f>(C6-B6)+(C7-B7)+(C8-B8)</f>
        <v>0</v>
      </c>
      <c r="E6" s="10"/>
      <c r="F6" s="11"/>
      <c r="G6" s="19" t="s">
        <v>6</v>
      </c>
      <c r="H6" s="9"/>
      <c r="I6" s="9"/>
      <c r="J6" s="10">
        <f>I7</f>
        <v>0</v>
      </c>
      <c r="K6" s="10"/>
      <c r="M6" s="6"/>
      <c r="N6" s="6"/>
    </row>
    <row r="7" spans="1:15" x14ac:dyDescent="0.25">
      <c r="A7" s="20"/>
      <c r="B7" s="9"/>
      <c r="C7" s="9"/>
      <c r="D7" s="12"/>
      <c r="E7" s="10">
        <f>B7-C6</f>
        <v>0</v>
      </c>
      <c r="G7" s="20"/>
      <c r="H7" s="9"/>
      <c r="I7" s="9"/>
      <c r="J7" s="12"/>
      <c r="K7" s="10">
        <f>H7-I6</f>
        <v>0</v>
      </c>
      <c r="M7" s="6"/>
      <c r="N7" s="6"/>
      <c r="O7" s="6"/>
    </row>
    <row r="8" spans="1:15" x14ac:dyDescent="0.25">
      <c r="A8" s="13"/>
      <c r="B8" s="9"/>
      <c r="C8" s="9"/>
      <c r="D8" s="12"/>
      <c r="E8" s="10"/>
      <c r="G8" s="13"/>
      <c r="H8" s="9"/>
      <c r="I8" s="9"/>
      <c r="J8" s="12"/>
      <c r="K8" s="10"/>
      <c r="M8" s="6"/>
      <c r="N8" s="6"/>
      <c r="O8" s="6"/>
    </row>
    <row r="9" spans="1:15" x14ac:dyDescent="0.25">
      <c r="A9" s="16" t="s">
        <v>7</v>
      </c>
      <c r="B9" s="4"/>
      <c r="C9" s="4"/>
      <c r="D9" s="5">
        <f>(C9-B9)+(C10-B10)+(C11-B11)</f>
        <v>0</v>
      </c>
      <c r="E9" s="5"/>
      <c r="G9" s="16" t="s">
        <v>7</v>
      </c>
      <c r="H9" s="4"/>
      <c r="I9" s="4"/>
      <c r="J9" s="5">
        <f>(I9-H9)+(I10-H10)</f>
        <v>0</v>
      </c>
      <c r="K9" s="5"/>
      <c r="M9" s="6"/>
      <c r="N9" s="6"/>
    </row>
    <row r="10" spans="1:15" x14ac:dyDescent="0.25">
      <c r="A10" s="17"/>
      <c r="B10" s="4"/>
      <c r="C10" s="4"/>
      <c r="D10" s="7"/>
      <c r="E10" s="5">
        <f>B10-C9</f>
        <v>0</v>
      </c>
      <c r="G10" s="17"/>
      <c r="H10" s="4"/>
      <c r="I10" s="4"/>
      <c r="J10" s="7"/>
      <c r="K10" s="5">
        <f>H10-I9</f>
        <v>0</v>
      </c>
    </row>
    <row r="11" spans="1:15" x14ac:dyDescent="0.25">
      <c r="A11" s="8"/>
      <c r="B11" s="4"/>
      <c r="C11" s="4"/>
      <c r="D11" s="7"/>
      <c r="E11" s="5"/>
      <c r="G11" s="8"/>
      <c r="H11" s="4"/>
      <c r="I11" s="4"/>
      <c r="J11" s="7"/>
      <c r="K11" s="5"/>
    </row>
    <row r="12" spans="1:15" x14ac:dyDescent="0.25">
      <c r="A12" s="19" t="s">
        <v>8</v>
      </c>
      <c r="B12" s="9"/>
      <c r="C12" s="9"/>
      <c r="D12" s="10">
        <f>(C12-B12)+(C13-B13)</f>
        <v>0</v>
      </c>
      <c r="E12" s="10"/>
      <c r="G12" s="19" t="s">
        <v>8</v>
      </c>
      <c r="H12" s="9"/>
      <c r="I12" s="9"/>
      <c r="J12" s="10">
        <f>(I12-H12)+(I13-H13)</f>
        <v>0</v>
      </c>
      <c r="K12" s="10"/>
    </row>
    <row r="13" spans="1:15" x14ac:dyDescent="0.25">
      <c r="A13" s="20"/>
      <c r="C13" s="9"/>
      <c r="D13" s="12"/>
      <c r="E13" s="10">
        <f>B12-C12</f>
        <v>0</v>
      </c>
      <c r="G13" s="20"/>
      <c r="H13" s="9"/>
      <c r="I13" s="9"/>
      <c r="J13" s="12"/>
      <c r="K13" s="10">
        <f>H13-I12</f>
        <v>0</v>
      </c>
    </row>
    <row r="14" spans="1:15" x14ac:dyDescent="0.25">
      <c r="A14" s="13"/>
      <c r="B14" s="9"/>
      <c r="C14" s="9"/>
      <c r="D14" s="12"/>
      <c r="E14" s="10"/>
      <c r="G14" s="13"/>
      <c r="H14" s="9"/>
      <c r="I14" s="9"/>
      <c r="J14" s="12"/>
      <c r="K14" s="10"/>
    </row>
    <row r="15" spans="1:15" x14ac:dyDescent="0.25">
      <c r="A15" s="16" t="s">
        <v>9</v>
      </c>
      <c r="B15" s="9"/>
      <c r="C15" s="4"/>
      <c r="D15" s="5">
        <f>(C15-B15)+(C16-B16)</f>
        <v>0</v>
      </c>
      <c r="E15" s="5"/>
      <c r="G15" s="16" t="s">
        <v>9</v>
      </c>
      <c r="H15" s="9"/>
      <c r="I15" s="9"/>
      <c r="J15" s="5">
        <f>(I15-H15)+(I16-H16)</f>
        <v>0</v>
      </c>
      <c r="K15" s="5"/>
    </row>
    <row r="16" spans="1:15" x14ac:dyDescent="0.25">
      <c r="A16" s="17"/>
      <c r="B16" s="4"/>
      <c r="C16" s="9"/>
      <c r="D16" s="7"/>
      <c r="E16" s="5">
        <f>B16-C15</f>
        <v>0</v>
      </c>
      <c r="G16" s="17"/>
      <c r="H16" s="9"/>
      <c r="I16" s="9"/>
      <c r="J16" s="7"/>
      <c r="K16" s="5">
        <f>H16-I15</f>
        <v>0</v>
      </c>
    </row>
    <row r="17" spans="1:11" x14ac:dyDescent="0.25">
      <c r="B17"/>
      <c r="C17"/>
    </row>
    <row r="18" spans="1:11" x14ac:dyDescent="0.25">
      <c r="B18" s="9"/>
      <c r="C18" s="9"/>
      <c r="D18" s="5">
        <f>C18-B18</f>
        <v>0</v>
      </c>
      <c r="H18" s="9"/>
      <c r="I18" s="9"/>
      <c r="J18" s="5">
        <f>I18-H18</f>
        <v>0</v>
      </c>
    </row>
    <row r="19" spans="1:11" x14ac:dyDescent="0.25">
      <c r="B19" s="9"/>
      <c r="C19" s="9"/>
      <c r="D19" s="5"/>
      <c r="H19" s="9"/>
      <c r="I19" s="9"/>
      <c r="J19" s="5"/>
    </row>
    <row r="20" spans="1:11" x14ac:dyDescent="0.25">
      <c r="B20" s="9"/>
      <c r="C20" s="9"/>
      <c r="D20" s="5">
        <f>C20-B20</f>
        <v>0</v>
      </c>
      <c r="H20" s="9"/>
      <c r="I20" s="9"/>
      <c r="J20" s="5">
        <f>I20-H20</f>
        <v>0</v>
      </c>
    </row>
    <row r="21" spans="1:11" x14ac:dyDescent="0.25">
      <c r="C21" s="14" t="s">
        <v>10</v>
      </c>
      <c r="D21" s="15">
        <f>SUM(D3+D5+D6+D9+D12+D15+D18+D20)</f>
        <v>0.35</v>
      </c>
      <c r="H21" s="1"/>
      <c r="I21" s="14" t="s">
        <v>10</v>
      </c>
      <c r="J21" s="15">
        <f>(J3+J6+J9+J12+J15+J18+J20)</f>
        <v>0</v>
      </c>
    </row>
    <row r="23" spans="1:11" x14ac:dyDescent="0.25">
      <c r="G23" s="18"/>
      <c r="H23" s="18"/>
      <c r="I23" s="18"/>
      <c r="J23" s="18"/>
      <c r="K23" s="18"/>
    </row>
    <row r="24" spans="1:11" x14ac:dyDescent="0.25">
      <c r="A24" s="2" t="s">
        <v>0</v>
      </c>
      <c r="B24" s="2" t="s">
        <v>1</v>
      </c>
      <c r="C24" s="2" t="s">
        <v>2</v>
      </c>
      <c r="D24" s="3" t="s">
        <v>3</v>
      </c>
      <c r="E24" s="3" t="s">
        <v>4</v>
      </c>
      <c r="G24" s="2" t="s">
        <v>0</v>
      </c>
      <c r="H24" s="2" t="s">
        <v>1</v>
      </c>
      <c r="I24" s="2" t="s">
        <v>2</v>
      </c>
      <c r="J24" s="3" t="s">
        <v>3</v>
      </c>
      <c r="K24" s="3" t="s">
        <v>4</v>
      </c>
    </row>
    <row r="25" spans="1:11" x14ac:dyDescent="0.25">
      <c r="A25" s="16" t="s">
        <v>5</v>
      </c>
      <c r="B25" s="4"/>
      <c r="C25" s="4"/>
      <c r="D25" s="5">
        <f>(C25-B25)+(C26-B26)</f>
        <v>0</v>
      </c>
      <c r="E25" s="5"/>
      <c r="F25" s="6"/>
      <c r="G25" s="16" t="s">
        <v>5</v>
      </c>
      <c r="H25" s="4"/>
      <c r="I25" s="4"/>
      <c r="J25" s="5">
        <f>(I25-H25)+(I26-H26)</f>
        <v>0</v>
      </c>
      <c r="K25" s="5"/>
    </row>
    <row r="26" spans="1:11" x14ac:dyDescent="0.25">
      <c r="A26" s="17"/>
      <c r="B26" s="4"/>
      <c r="C26" s="4"/>
      <c r="D26" s="7"/>
      <c r="E26" s="5">
        <f>B26-C25</f>
        <v>0</v>
      </c>
      <c r="G26" s="17"/>
      <c r="H26" s="4"/>
      <c r="I26" s="4"/>
      <c r="J26" s="7"/>
      <c r="K26" s="5">
        <f>H26-I25</f>
        <v>0</v>
      </c>
    </row>
    <row r="27" spans="1:11" x14ac:dyDescent="0.25">
      <c r="A27" s="8"/>
      <c r="B27" s="9"/>
      <c r="C27" s="9"/>
      <c r="D27" s="7"/>
      <c r="E27" s="5"/>
      <c r="F27" s="11"/>
      <c r="G27" s="8"/>
      <c r="H27" s="4"/>
      <c r="I27" s="4"/>
      <c r="J27" s="7"/>
      <c r="K27" s="5"/>
    </row>
    <row r="28" spans="1:11" x14ac:dyDescent="0.25">
      <c r="A28" s="19" t="s">
        <v>6</v>
      </c>
      <c r="B28" s="9"/>
      <c r="C28" s="9"/>
      <c r="D28" s="10">
        <f>(C28-B28)+(C29-B29)</f>
        <v>0</v>
      </c>
      <c r="E28" s="10"/>
      <c r="G28" s="19" t="s">
        <v>6</v>
      </c>
      <c r="H28" s="9"/>
      <c r="I28" s="9"/>
      <c r="J28" s="10">
        <f>(I28-H28)+(I29-H29)</f>
        <v>0</v>
      </c>
      <c r="K28" s="10"/>
    </row>
    <row r="29" spans="1:11" x14ac:dyDescent="0.25">
      <c r="A29" s="20"/>
      <c r="B29" s="9"/>
      <c r="C29" s="9"/>
      <c r="D29" s="12"/>
      <c r="E29" s="10">
        <f>B29-C28</f>
        <v>0</v>
      </c>
      <c r="G29" s="20"/>
      <c r="H29" s="9"/>
      <c r="I29" s="9"/>
      <c r="J29" s="12"/>
      <c r="K29" s="10">
        <f>H29-I28</f>
        <v>0</v>
      </c>
    </row>
    <row r="30" spans="1:11" x14ac:dyDescent="0.25">
      <c r="A30" s="13"/>
      <c r="B30" s="9"/>
      <c r="C30" s="9"/>
      <c r="D30" s="12"/>
      <c r="E30" s="10"/>
      <c r="G30" s="13"/>
      <c r="H30" s="9"/>
      <c r="I30" s="9"/>
      <c r="J30" s="12"/>
      <c r="K30" s="10"/>
    </row>
    <row r="31" spans="1:11" x14ac:dyDescent="0.25">
      <c r="A31" s="16" t="s">
        <v>7</v>
      </c>
      <c r="B31" s="4"/>
      <c r="C31" s="4"/>
      <c r="D31" s="5">
        <f>(C31-B31)+(C32-B32)</f>
        <v>0</v>
      </c>
      <c r="E31" s="5"/>
      <c r="G31" s="16" t="s">
        <v>7</v>
      </c>
      <c r="H31" s="4"/>
      <c r="I31" s="4"/>
      <c r="J31" s="5">
        <f>(I31-H31)+(I32-H32)</f>
        <v>0</v>
      </c>
      <c r="K31" s="5"/>
    </row>
    <row r="32" spans="1:11" x14ac:dyDescent="0.25">
      <c r="A32" s="17"/>
      <c r="B32" s="4"/>
      <c r="C32" s="4"/>
      <c r="D32" s="7"/>
      <c r="E32" s="5">
        <f>B32-C31</f>
        <v>0</v>
      </c>
      <c r="G32" s="17"/>
      <c r="H32" s="4"/>
      <c r="I32" s="4"/>
      <c r="J32" s="7"/>
      <c r="K32" s="5">
        <f>H32-I31</f>
        <v>0</v>
      </c>
    </row>
    <row r="33" spans="1:11" x14ac:dyDescent="0.25">
      <c r="A33" s="8"/>
      <c r="B33" s="4"/>
      <c r="C33" s="4"/>
      <c r="D33" s="7"/>
      <c r="E33" s="5"/>
      <c r="G33" s="8"/>
      <c r="H33" s="4"/>
      <c r="I33" s="4"/>
      <c r="J33" s="7"/>
      <c r="K33" s="5"/>
    </row>
    <row r="34" spans="1:11" x14ac:dyDescent="0.25">
      <c r="A34" s="19" t="s">
        <v>8</v>
      </c>
      <c r="B34" s="9"/>
      <c r="C34" s="9"/>
      <c r="D34" s="10">
        <f>(C34-B34)+(C35-B35)</f>
        <v>0</v>
      </c>
      <c r="E34" s="10"/>
      <c r="G34" s="19" t="s">
        <v>8</v>
      </c>
      <c r="H34" s="9"/>
      <c r="I34" s="9"/>
      <c r="J34" s="10">
        <f>(I34-H34)+(I35-H35)</f>
        <v>0</v>
      </c>
      <c r="K34" s="10"/>
    </row>
    <row r="35" spans="1:11" x14ac:dyDescent="0.25">
      <c r="A35" s="20"/>
      <c r="B35" s="9"/>
      <c r="C35" s="9"/>
      <c r="D35" s="12"/>
      <c r="E35" s="10">
        <f>B35-C34</f>
        <v>0</v>
      </c>
      <c r="G35" s="20"/>
      <c r="H35" s="9"/>
      <c r="I35" s="9"/>
      <c r="J35" s="12"/>
      <c r="K35" s="10">
        <f>H35-I34</f>
        <v>0</v>
      </c>
    </row>
    <row r="36" spans="1:11" x14ac:dyDescent="0.25">
      <c r="A36" s="13"/>
      <c r="B36" s="9"/>
      <c r="C36" s="9"/>
      <c r="D36" s="12"/>
      <c r="E36" s="10"/>
      <c r="G36" s="13"/>
      <c r="H36" s="9"/>
      <c r="I36" s="9"/>
      <c r="J36" s="12"/>
      <c r="K36" s="10"/>
    </row>
    <row r="37" spans="1:11" x14ac:dyDescent="0.25">
      <c r="A37" s="16" t="s">
        <v>9</v>
      </c>
      <c r="B37" s="9"/>
      <c r="C37" s="9"/>
      <c r="D37" s="5">
        <f>(C37-B37)+(C38-B38)</f>
        <v>0</v>
      </c>
      <c r="E37" s="5"/>
      <c r="G37" s="16" t="s">
        <v>9</v>
      </c>
      <c r="H37" s="9"/>
      <c r="I37" s="9"/>
      <c r="J37" s="5">
        <f>(I37-H37)+(I38-H38)</f>
        <v>0</v>
      </c>
      <c r="K37" s="5"/>
    </row>
    <row r="38" spans="1:11" x14ac:dyDescent="0.25">
      <c r="A38" s="17"/>
      <c r="B38" s="9"/>
      <c r="C38" s="9"/>
      <c r="D38" s="7"/>
      <c r="E38" s="5">
        <f>B38-C37</f>
        <v>0</v>
      </c>
      <c r="G38" s="17"/>
      <c r="H38" s="9"/>
      <c r="I38" s="9"/>
      <c r="J38" s="7"/>
      <c r="K38" s="5">
        <f>H38-I37</f>
        <v>0</v>
      </c>
    </row>
    <row r="39" spans="1:11" x14ac:dyDescent="0.25">
      <c r="B39"/>
      <c r="C39"/>
    </row>
    <row r="40" spans="1:11" x14ac:dyDescent="0.25">
      <c r="B40" s="9"/>
      <c r="C40" s="9"/>
      <c r="D40" s="5">
        <f>C40-B40</f>
        <v>0</v>
      </c>
      <c r="H40" s="9"/>
      <c r="I40" s="9"/>
      <c r="J40" s="5">
        <f>I40-H40</f>
        <v>0</v>
      </c>
    </row>
    <row r="41" spans="1:11" x14ac:dyDescent="0.25">
      <c r="B41" s="9"/>
      <c r="C41" s="9"/>
      <c r="D41" s="5"/>
      <c r="H41" s="9"/>
      <c r="I41" s="9"/>
      <c r="J41" s="5"/>
    </row>
    <row r="42" spans="1:11" x14ac:dyDescent="0.25">
      <c r="B42" s="9"/>
      <c r="C42" s="9"/>
      <c r="D42" s="5">
        <f>C42-B42</f>
        <v>0</v>
      </c>
      <c r="H42" s="9"/>
      <c r="I42" s="9"/>
      <c r="J42" s="5">
        <f>I42-H42</f>
        <v>0</v>
      </c>
    </row>
    <row r="43" spans="1:11" x14ac:dyDescent="0.25">
      <c r="C43" s="14" t="s">
        <v>10</v>
      </c>
      <c r="D43" s="15">
        <f>(D25+D28+D31+D34+D37+D40+D42)</f>
        <v>0</v>
      </c>
      <c r="H43" s="1"/>
      <c r="I43" s="14" t="s">
        <v>10</v>
      </c>
      <c r="J43" s="15">
        <f>(J25+J28+J31+J34+J37+J40+J42)</f>
        <v>0</v>
      </c>
    </row>
  </sheetData>
  <mergeCells count="22">
    <mergeCell ref="A37:A38"/>
    <mergeCell ref="G37:G38"/>
    <mergeCell ref="A28:A29"/>
    <mergeCell ref="G28:G29"/>
    <mergeCell ref="A31:A32"/>
    <mergeCell ref="G31:G32"/>
    <mergeCell ref="A34:A35"/>
    <mergeCell ref="G34:G35"/>
    <mergeCell ref="A25:A26"/>
    <mergeCell ref="G25:G26"/>
    <mergeCell ref="G1:K1"/>
    <mergeCell ref="A3:A4"/>
    <mergeCell ref="G3:G4"/>
    <mergeCell ref="A6:A7"/>
    <mergeCell ref="G6:G7"/>
    <mergeCell ref="A9:A10"/>
    <mergeCell ref="G9:G10"/>
    <mergeCell ref="A12:A13"/>
    <mergeCell ref="G12:G13"/>
    <mergeCell ref="A15:A16"/>
    <mergeCell ref="G15:G16"/>
    <mergeCell ref="G23:K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Wholesale Mortgage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Kannaiah Gattagoni</dc:creator>
  <cp:lastModifiedBy>Nathan Stuart</cp:lastModifiedBy>
  <dcterms:created xsi:type="dcterms:W3CDTF">2023-12-29T21:44:27Z</dcterms:created>
  <dcterms:modified xsi:type="dcterms:W3CDTF">2026-01-15T14:09:49Z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c92d4e-2488-4e27-8d11-718a63a2fa0f_Enabled">
    <vt:lpwstr>true</vt:lpwstr>
  </property>
  <property fmtid="{D5CDD505-2E9C-101B-9397-08002B2CF9AE}" pid="3" name="MSIP_Label_bcc92d4e-2488-4e27-8d11-718a63a2fa0f_SetDate">
    <vt:lpwstr>2023-12-29T21:44:31Z</vt:lpwstr>
  </property>
  <property fmtid="{D5CDD505-2E9C-101B-9397-08002B2CF9AE}" pid="4" name="MSIP_Label_bcc92d4e-2488-4e27-8d11-718a63a2fa0f_Method">
    <vt:lpwstr>Standard</vt:lpwstr>
  </property>
  <property fmtid="{D5CDD505-2E9C-101B-9397-08002B2CF9AE}" pid="5" name="MSIP_Label_bcc92d4e-2488-4e27-8d11-718a63a2fa0f_Name">
    <vt:lpwstr>bcc92d4e-2488-4e27-8d11-718a63a2fa0f</vt:lpwstr>
  </property>
  <property fmtid="{D5CDD505-2E9C-101B-9397-08002B2CF9AE}" pid="6" name="MSIP_Label_bcc92d4e-2488-4e27-8d11-718a63a2fa0f_SiteId">
    <vt:lpwstr>13d3189d-22a4-4f96-bbc9-2af46c222581</vt:lpwstr>
  </property>
  <property fmtid="{D5CDD505-2E9C-101B-9397-08002B2CF9AE}" pid="7" name="MSIP_Label_bcc92d4e-2488-4e27-8d11-718a63a2fa0f_ActionId">
    <vt:lpwstr>ba35face-3e71-42d9-bce5-7024288eab22</vt:lpwstr>
  </property>
  <property fmtid="{D5CDD505-2E9C-101B-9397-08002B2CF9AE}" pid="8" name="MSIP_Label_bcc92d4e-2488-4e27-8d11-718a63a2fa0f_ContentBits">
    <vt:lpwstr>0</vt:lpwstr>
  </property>
</Properties>
</file>