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U:\Misc\Time_Tracking\"/>
    </mc:Choice>
  </mc:AlternateContent>
  <xr:revisionPtr revIDLastSave="0" documentId="13_ncr:1_{EF4FDE82-D585-4D04-99F0-370B5E58B326}" xr6:coauthVersionLast="47" xr6:coauthVersionMax="47" xr10:uidLastSave="{00000000-0000-0000-0000-000000000000}"/>
  <bookViews>
    <workbookView xWindow="5370" yWindow="2100" windowWidth="28770" windowHeight="16260" xr2:uid="{00000000-000D-0000-FFFF-FFFF00000000}"/>
  </bookViews>
  <sheets>
    <sheet name="20251229" sheetId="78" r:id="rId1"/>
    <sheet name="20251222" sheetId="77" r:id="rId2"/>
    <sheet name="20251215" sheetId="76" r:id="rId3"/>
    <sheet name="20251208" sheetId="75" r:id="rId4"/>
    <sheet name="20251201" sheetId="74" r:id="rId5"/>
    <sheet name="20251124" sheetId="73" r:id="rId6"/>
    <sheet name="20251117" sheetId="72" r:id="rId7"/>
    <sheet name="20251110" sheetId="71" r:id="rId8"/>
    <sheet name="20251103" sheetId="70" r:id="rId9"/>
    <sheet name="20251027" sheetId="69" r:id="rId10"/>
    <sheet name="20251020" sheetId="68" r:id="rId11"/>
    <sheet name="20251013" sheetId="67" r:id="rId12"/>
    <sheet name="20251006" sheetId="66" r:id="rId13"/>
    <sheet name="20250929" sheetId="65" r:id="rId14"/>
    <sheet name="20250922" sheetId="64" r:id="rId15"/>
    <sheet name="20250915" sheetId="63" r:id="rId16"/>
    <sheet name="20250908" sheetId="62" r:id="rId17"/>
    <sheet name="20250901" sheetId="61" r:id="rId18"/>
    <sheet name="20250825" sheetId="60" r:id="rId19"/>
    <sheet name="20250818" sheetId="59" r:id="rId20"/>
    <sheet name="20250811" sheetId="58" r:id="rId21"/>
    <sheet name="20250804" sheetId="57" r:id="rId22"/>
    <sheet name="20250728" sheetId="56" r:id="rId23"/>
    <sheet name="20250721" sheetId="55" r:id="rId24"/>
    <sheet name="20250714" sheetId="54" r:id="rId25"/>
    <sheet name="20250707" sheetId="53" r:id="rId26"/>
    <sheet name="20250630" sheetId="52" r:id="rId27"/>
    <sheet name="20250623" sheetId="51" r:id="rId28"/>
    <sheet name="20250616" sheetId="50" r:id="rId29"/>
    <sheet name="20250609" sheetId="49" r:id="rId30"/>
    <sheet name="20250602" sheetId="48" r:id="rId31"/>
    <sheet name="20250526" sheetId="47" r:id="rId32"/>
    <sheet name="20250519" sheetId="46" r:id="rId33"/>
    <sheet name="20250512" sheetId="45" r:id="rId34"/>
    <sheet name="20250505" sheetId="44" r:id="rId35"/>
    <sheet name="20250428" sheetId="43" r:id="rId36"/>
    <sheet name="20250421" sheetId="42" r:id="rId37"/>
    <sheet name="20250414" sheetId="41" r:id="rId38"/>
    <sheet name="20250407" sheetId="40" r:id="rId39"/>
    <sheet name="20250331" sheetId="39" r:id="rId40"/>
    <sheet name="20250324" sheetId="38" r:id="rId41"/>
    <sheet name="20250317" sheetId="37" r:id="rId42"/>
    <sheet name="20250310" sheetId="36" r:id="rId43"/>
    <sheet name="20250303" sheetId="35" r:id="rId44"/>
    <sheet name="20250224" sheetId="34" r:id="rId45"/>
    <sheet name="20250217" sheetId="33" r:id="rId46"/>
    <sheet name="20250210" sheetId="32" r:id="rId47"/>
    <sheet name="20250203" sheetId="31" r:id="rId48"/>
    <sheet name="20250127" sheetId="30" r:id="rId49"/>
    <sheet name="20250120" sheetId="29" r:id="rId50"/>
    <sheet name="20250113" sheetId="28" r:id="rId51"/>
    <sheet name="20250106" sheetId="27" r:id="rId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78" l="1"/>
  <c r="J6" i="78"/>
  <c r="H6" i="78"/>
  <c r="G6" i="78"/>
  <c r="I6" i="78" s="1"/>
  <c r="K5" i="78"/>
  <c r="J5" i="78"/>
  <c r="H5" i="78"/>
  <c r="I5" i="78" s="1"/>
  <c r="G5" i="78"/>
  <c r="K4" i="78"/>
  <c r="J4" i="78"/>
  <c r="H4" i="78"/>
  <c r="G4" i="78"/>
  <c r="I4" i="78" s="1"/>
  <c r="K3" i="78"/>
  <c r="J3" i="78"/>
  <c r="H3" i="78"/>
  <c r="G3" i="78"/>
  <c r="K2" i="78"/>
  <c r="J2" i="78"/>
  <c r="H2" i="78"/>
  <c r="G2" i="78"/>
  <c r="A1" i="78" a="1"/>
  <c r="A1" i="78" s="1"/>
  <c r="K6" i="77"/>
  <c r="J6" i="77"/>
  <c r="H6" i="77"/>
  <c r="G6" i="77"/>
  <c r="I6" i="77" s="1"/>
  <c r="J5" i="77"/>
  <c r="H5" i="77"/>
  <c r="G5" i="77"/>
  <c r="J4" i="77"/>
  <c r="H4" i="77"/>
  <c r="G4" i="77"/>
  <c r="I4" i="77" s="1"/>
  <c r="K4" i="77" s="1"/>
  <c r="J3" i="77"/>
  <c r="H3" i="77"/>
  <c r="G3" i="77"/>
  <c r="J2" i="77"/>
  <c r="H2" i="77"/>
  <c r="G2" i="77"/>
  <c r="I2" i="77" s="1"/>
  <c r="A1" i="77" a="1"/>
  <c r="A1" i="77" s="1"/>
  <c r="J6" i="76"/>
  <c r="H6" i="76"/>
  <c r="G6" i="76"/>
  <c r="J5" i="76"/>
  <c r="H5" i="76"/>
  <c r="G5" i="76"/>
  <c r="J4" i="76"/>
  <c r="H4" i="76"/>
  <c r="G4" i="76"/>
  <c r="I4" i="76" s="1"/>
  <c r="K4" i="76" s="1"/>
  <c r="J3" i="76"/>
  <c r="H3" i="76"/>
  <c r="G3" i="76"/>
  <c r="J2" i="76"/>
  <c r="H2" i="76"/>
  <c r="G2" i="76"/>
  <c r="A1" i="76" a="1"/>
  <c r="A1" i="76" s="1"/>
  <c r="J6" i="75"/>
  <c r="H6" i="75"/>
  <c r="G6" i="75"/>
  <c r="J5" i="75"/>
  <c r="H5" i="75"/>
  <c r="G5" i="75"/>
  <c r="J4" i="75"/>
  <c r="H4" i="75"/>
  <c r="G4" i="75"/>
  <c r="I4" i="75" s="1"/>
  <c r="K4" i="75" s="1"/>
  <c r="J3" i="75"/>
  <c r="H3" i="75"/>
  <c r="G3" i="75"/>
  <c r="J2" i="75"/>
  <c r="H2" i="75"/>
  <c r="G2" i="75"/>
  <c r="A1" i="75" a="1"/>
  <c r="A1" i="75" s="1"/>
  <c r="A1" i="74" a="1"/>
  <c r="A1" i="74" s="1"/>
  <c r="A2" i="74" s="1"/>
  <c r="J6" i="74"/>
  <c r="H6" i="74"/>
  <c r="G6" i="74"/>
  <c r="J5" i="74"/>
  <c r="H5" i="74"/>
  <c r="G5" i="74"/>
  <c r="J4" i="74"/>
  <c r="H4" i="74"/>
  <c r="G4" i="74"/>
  <c r="J3" i="74"/>
  <c r="H3" i="74"/>
  <c r="G3" i="74"/>
  <c r="J2" i="74"/>
  <c r="H2" i="74"/>
  <c r="G2" i="74"/>
  <c r="K6" i="73"/>
  <c r="J6" i="73"/>
  <c r="H6" i="73"/>
  <c r="G6" i="73"/>
  <c r="I6" i="73" s="1"/>
  <c r="J5" i="73"/>
  <c r="H5" i="73"/>
  <c r="G5" i="73"/>
  <c r="I5" i="73" s="1"/>
  <c r="K5" i="73" s="1"/>
  <c r="J4" i="73"/>
  <c r="H4" i="73"/>
  <c r="G4" i="73"/>
  <c r="I4" i="73" s="1"/>
  <c r="K4" i="73" s="1"/>
  <c r="J3" i="73"/>
  <c r="H3" i="73"/>
  <c r="G3" i="73"/>
  <c r="J2" i="73"/>
  <c r="H2" i="73"/>
  <c r="G2" i="73"/>
  <c r="A1" i="73" a="1"/>
  <c r="A1" i="73" s="1"/>
  <c r="J6" i="72"/>
  <c r="H6" i="72"/>
  <c r="G6" i="72"/>
  <c r="I6" i="72" s="1"/>
  <c r="K6" i="72" s="1"/>
  <c r="J5" i="72"/>
  <c r="H5" i="72"/>
  <c r="G5" i="72"/>
  <c r="J4" i="72"/>
  <c r="H4" i="72"/>
  <c r="G4" i="72"/>
  <c r="J3" i="72"/>
  <c r="H3" i="72"/>
  <c r="G3" i="72"/>
  <c r="J2" i="72"/>
  <c r="H2" i="72"/>
  <c r="G2" i="72"/>
  <c r="I2" i="72" s="1"/>
  <c r="A1" i="72" a="1"/>
  <c r="A1" i="72" s="1"/>
  <c r="I2" i="71"/>
  <c r="J6" i="71"/>
  <c r="H6" i="71"/>
  <c r="G6" i="71"/>
  <c r="J5" i="71"/>
  <c r="H5" i="71"/>
  <c r="G5" i="71"/>
  <c r="J4" i="71"/>
  <c r="H4" i="71"/>
  <c r="G4" i="71"/>
  <c r="I4" i="71" s="1"/>
  <c r="K4" i="71" s="1"/>
  <c r="J3" i="71"/>
  <c r="H3" i="71"/>
  <c r="G3" i="71"/>
  <c r="J2" i="71"/>
  <c r="H2" i="71"/>
  <c r="G2" i="71"/>
  <c r="A1" i="71" a="1"/>
  <c r="A1" i="71" s="1"/>
  <c r="J6" i="70"/>
  <c r="H6" i="70"/>
  <c r="G6" i="70"/>
  <c r="J5" i="70"/>
  <c r="H5" i="70"/>
  <c r="G5" i="70"/>
  <c r="J4" i="70"/>
  <c r="H4" i="70"/>
  <c r="G4" i="70"/>
  <c r="J3" i="70"/>
  <c r="H3" i="70"/>
  <c r="G3" i="70"/>
  <c r="J2" i="70"/>
  <c r="H2" i="70"/>
  <c r="G2" i="70"/>
  <c r="A1" i="70" a="1"/>
  <c r="A1" i="70" s="1"/>
  <c r="J6" i="69"/>
  <c r="H6" i="69"/>
  <c r="G6" i="69"/>
  <c r="J5" i="69"/>
  <c r="H5" i="69"/>
  <c r="G5" i="69"/>
  <c r="J4" i="69"/>
  <c r="H4" i="69"/>
  <c r="G4" i="69"/>
  <c r="J3" i="69"/>
  <c r="H3" i="69"/>
  <c r="G3" i="69"/>
  <c r="J2" i="69"/>
  <c r="H2" i="69"/>
  <c r="G2" i="69"/>
  <c r="A1" i="69" a="1"/>
  <c r="A1" i="69" s="1"/>
  <c r="A5" i="69" s="1"/>
  <c r="J6" i="68"/>
  <c r="H6" i="68"/>
  <c r="G6" i="68"/>
  <c r="I6" i="68" s="1"/>
  <c r="K6" i="68" s="1"/>
  <c r="J5" i="68"/>
  <c r="H5" i="68"/>
  <c r="G5" i="68"/>
  <c r="J4" i="68"/>
  <c r="H4" i="68"/>
  <c r="G4" i="68"/>
  <c r="J3" i="68"/>
  <c r="H3" i="68"/>
  <c r="G3" i="68"/>
  <c r="J2" i="68"/>
  <c r="H2" i="68"/>
  <c r="G2" i="68"/>
  <c r="A1" i="68" a="1"/>
  <c r="A1" i="68" s="1"/>
  <c r="G6" i="67"/>
  <c r="H6" i="67"/>
  <c r="J6" i="67"/>
  <c r="J5" i="67"/>
  <c r="H5" i="67"/>
  <c r="G5" i="67"/>
  <c r="J4" i="67"/>
  <c r="H4" i="67"/>
  <c r="G4" i="67"/>
  <c r="J3" i="67"/>
  <c r="H3" i="67"/>
  <c r="G3" i="67"/>
  <c r="J2" i="67"/>
  <c r="H2" i="67"/>
  <c r="G2" i="67"/>
  <c r="A1" i="67" a="1"/>
  <c r="A1" i="67" s="1"/>
  <c r="J6" i="66"/>
  <c r="H6" i="66"/>
  <c r="G6" i="66"/>
  <c r="I6" i="66" s="1"/>
  <c r="K6" i="66" s="1"/>
  <c r="J5" i="66"/>
  <c r="H5" i="66"/>
  <c r="G5" i="66"/>
  <c r="J4" i="66"/>
  <c r="H4" i="66"/>
  <c r="G4" i="66"/>
  <c r="I4" i="66" s="1"/>
  <c r="K4" i="66" s="1"/>
  <c r="J3" i="66"/>
  <c r="H3" i="66"/>
  <c r="G3" i="66"/>
  <c r="J2" i="66"/>
  <c r="H2" i="66"/>
  <c r="G2" i="66"/>
  <c r="I2" i="66" s="1"/>
  <c r="A1" i="66" a="1"/>
  <c r="A1" i="66" s="1"/>
  <c r="J6" i="65"/>
  <c r="H6" i="65"/>
  <c r="G6" i="65"/>
  <c r="I6" i="65" s="1"/>
  <c r="K6" i="65" s="1"/>
  <c r="J5" i="65"/>
  <c r="H5" i="65"/>
  <c r="G5" i="65"/>
  <c r="J4" i="65"/>
  <c r="H4" i="65"/>
  <c r="G4" i="65"/>
  <c r="J3" i="65"/>
  <c r="H3" i="65"/>
  <c r="G3" i="65"/>
  <c r="J2" i="65"/>
  <c r="H2" i="65"/>
  <c r="G2" i="65"/>
  <c r="I2" i="65" s="1"/>
  <c r="A1" i="65" a="1"/>
  <c r="A1" i="65" s="1"/>
  <c r="J6" i="64"/>
  <c r="H6" i="64"/>
  <c r="G6" i="64"/>
  <c r="J5" i="64"/>
  <c r="H5" i="64"/>
  <c r="G5" i="64"/>
  <c r="J4" i="64"/>
  <c r="H4" i="64"/>
  <c r="G4" i="64"/>
  <c r="I4" i="64" s="1"/>
  <c r="K4" i="64" s="1"/>
  <c r="J3" i="64"/>
  <c r="H3" i="64"/>
  <c r="G3" i="64"/>
  <c r="J2" i="64"/>
  <c r="H2" i="64"/>
  <c r="G2" i="64"/>
  <c r="A1" i="64" a="1"/>
  <c r="A1" i="64" s="1"/>
  <c r="A6" i="64" s="1"/>
  <c r="J6" i="63"/>
  <c r="H6" i="63"/>
  <c r="G6" i="63"/>
  <c r="J5" i="63"/>
  <c r="H5" i="63"/>
  <c r="G5" i="63"/>
  <c r="J4" i="63"/>
  <c r="H4" i="63"/>
  <c r="G4" i="63"/>
  <c r="J3" i="63"/>
  <c r="H3" i="63"/>
  <c r="G3" i="63"/>
  <c r="J2" i="63"/>
  <c r="H2" i="63"/>
  <c r="G2" i="63"/>
  <c r="I2" i="63" s="1"/>
  <c r="K2" i="63" s="1"/>
  <c r="A1" i="63" a="1"/>
  <c r="A1" i="63" s="1"/>
  <c r="A6" i="63" s="1"/>
  <c r="J6" i="62"/>
  <c r="H6" i="62"/>
  <c r="G6" i="62"/>
  <c r="J5" i="62"/>
  <c r="H5" i="62"/>
  <c r="G5" i="62"/>
  <c r="I5" i="62" s="1"/>
  <c r="K5" i="62" s="1"/>
  <c r="J4" i="62"/>
  <c r="H4" i="62"/>
  <c r="G4" i="62"/>
  <c r="I4" i="62" s="1"/>
  <c r="K4" i="62" s="1"/>
  <c r="J3" i="62"/>
  <c r="H3" i="62"/>
  <c r="G3" i="62"/>
  <c r="K2" i="62"/>
  <c r="J2" i="62"/>
  <c r="H2" i="62"/>
  <c r="G2" i="62"/>
  <c r="I2" i="62" s="1"/>
  <c r="A1" i="62" a="1"/>
  <c r="A1" i="62" s="1"/>
  <c r="A6" i="62" s="1"/>
  <c r="A1" i="61" a="1"/>
  <c r="A1" i="61" s="1"/>
  <c r="A2" i="61" s="1"/>
  <c r="J6" i="61"/>
  <c r="H6" i="61"/>
  <c r="G6" i="61"/>
  <c r="J5" i="61"/>
  <c r="H5" i="61"/>
  <c r="G5" i="61"/>
  <c r="J4" i="61"/>
  <c r="H4" i="61"/>
  <c r="G4" i="61"/>
  <c r="J3" i="61"/>
  <c r="H3" i="61"/>
  <c r="G3" i="61"/>
  <c r="J2" i="61"/>
  <c r="H2" i="61"/>
  <c r="G2" i="61"/>
  <c r="I2" i="61" s="1"/>
  <c r="J6" i="60"/>
  <c r="H6" i="60"/>
  <c r="G6" i="60"/>
  <c r="I6" i="60" s="1"/>
  <c r="K6" i="60" s="1"/>
  <c r="J5" i="60"/>
  <c r="H5" i="60"/>
  <c r="G5" i="60"/>
  <c r="J4" i="60"/>
  <c r="H4" i="60"/>
  <c r="G4" i="60"/>
  <c r="J3" i="60"/>
  <c r="H3" i="60"/>
  <c r="G3" i="60"/>
  <c r="J2" i="60"/>
  <c r="H2" i="60"/>
  <c r="G2" i="60"/>
  <c r="A1" i="60" a="1"/>
  <c r="A1" i="60" s="1"/>
  <c r="H4" i="59"/>
  <c r="G4" i="59"/>
  <c r="J4" i="59"/>
  <c r="K7" i="59"/>
  <c r="J7" i="59"/>
  <c r="H7" i="59"/>
  <c r="G7" i="59"/>
  <c r="I7" i="59" s="1"/>
  <c r="J6" i="59"/>
  <c r="H6" i="59"/>
  <c r="G6" i="59"/>
  <c r="J5" i="59"/>
  <c r="H5" i="59"/>
  <c r="G5" i="59"/>
  <c r="I5" i="59" s="1"/>
  <c r="K5" i="59" s="1"/>
  <c r="J3" i="59"/>
  <c r="H3" i="59"/>
  <c r="G3" i="59"/>
  <c r="J2" i="59"/>
  <c r="H2" i="59"/>
  <c r="G2" i="59"/>
  <c r="A1" i="59" a="1"/>
  <c r="A1" i="59" s="1"/>
  <c r="F6" i="58"/>
  <c r="I2" i="78" l="1"/>
  <c r="I3" i="78"/>
  <c r="A5" i="78"/>
  <c r="A3" i="78"/>
  <c r="A6" i="78"/>
  <c r="A4" i="78"/>
  <c r="A2" i="78"/>
  <c r="I7" i="78"/>
  <c r="I9" i="78" s="1"/>
  <c r="I5" i="77"/>
  <c r="K5" i="77" s="1"/>
  <c r="I3" i="77"/>
  <c r="K3" i="77" s="1"/>
  <c r="A5" i="77"/>
  <c r="A3" i="77"/>
  <c r="A6" i="77"/>
  <c r="A4" i="77"/>
  <c r="A2" i="77"/>
  <c r="K2" i="77"/>
  <c r="I6" i="76"/>
  <c r="K6" i="76" s="1"/>
  <c r="I3" i="76"/>
  <c r="K3" i="76" s="1"/>
  <c r="I2" i="76"/>
  <c r="I5" i="76"/>
  <c r="K5" i="76" s="1"/>
  <c r="A5" i="76"/>
  <c r="A3" i="76"/>
  <c r="A6" i="76"/>
  <c r="A4" i="76"/>
  <c r="A2" i="76"/>
  <c r="K2" i="76"/>
  <c r="I5" i="75"/>
  <c r="K5" i="75" s="1"/>
  <c r="I2" i="75"/>
  <c r="I6" i="75"/>
  <c r="K6" i="75" s="1"/>
  <c r="I3" i="75"/>
  <c r="K3" i="75" s="1"/>
  <c r="A5" i="75"/>
  <c r="A3" i="75"/>
  <c r="A6" i="75"/>
  <c r="A4" i="75"/>
  <c r="A2" i="75"/>
  <c r="I7" i="75"/>
  <c r="I9" i="75" s="1"/>
  <c r="K2" i="75"/>
  <c r="I6" i="74"/>
  <c r="K6" i="74" s="1"/>
  <c r="I4" i="74"/>
  <c r="K4" i="74" s="1"/>
  <c r="I3" i="74"/>
  <c r="K3" i="74" s="1"/>
  <c r="I2" i="74"/>
  <c r="I5" i="74"/>
  <c r="A3" i="74"/>
  <c r="A5" i="74"/>
  <c r="A6" i="74"/>
  <c r="A4" i="74"/>
  <c r="K2" i="74"/>
  <c r="I3" i="73"/>
  <c r="K3" i="73" s="1"/>
  <c r="I2" i="73"/>
  <c r="A5" i="73"/>
  <c r="A3" i="73"/>
  <c r="A6" i="73"/>
  <c r="A4" i="73"/>
  <c r="A2" i="73"/>
  <c r="I4" i="72"/>
  <c r="K4" i="72" s="1"/>
  <c r="I5" i="72"/>
  <c r="K5" i="72" s="1"/>
  <c r="I3" i="72"/>
  <c r="K3" i="72" s="1"/>
  <c r="A5" i="72"/>
  <c r="A3" i="72"/>
  <c r="A6" i="72"/>
  <c r="A4" i="72"/>
  <c r="A2" i="72"/>
  <c r="K2" i="72"/>
  <c r="I6" i="71"/>
  <c r="K6" i="71" s="1"/>
  <c r="I5" i="71"/>
  <c r="K5" i="71" s="1"/>
  <c r="I3" i="71"/>
  <c r="K3" i="71" s="1"/>
  <c r="K2" i="71"/>
  <c r="A5" i="71"/>
  <c r="A3" i="71"/>
  <c r="A6" i="71"/>
  <c r="A4" i="71"/>
  <c r="A2" i="71"/>
  <c r="I5" i="70"/>
  <c r="K5" i="70" s="1"/>
  <c r="I4" i="70"/>
  <c r="K4" i="70" s="1"/>
  <c r="I3" i="70"/>
  <c r="K3" i="70" s="1"/>
  <c r="I2" i="70"/>
  <c r="I6" i="70"/>
  <c r="K6" i="70" s="1"/>
  <c r="A5" i="70"/>
  <c r="A3" i="70"/>
  <c r="A6" i="70"/>
  <c r="A4" i="70"/>
  <c r="A2" i="70"/>
  <c r="K2" i="70"/>
  <c r="I6" i="69"/>
  <c r="K6" i="69" s="1"/>
  <c r="I5" i="69"/>
  <c r="K5" i="69" s="1"/>
  <c r="I4" i="69"/>
  <c r="K4" i="69" s="1"/>
  <c r="I3" i="69"/>
  <c r="K3" i="69" s="1"/>
  <c r="I2" i="69"/>
  <c r="A2" i="69"/>
  <c r="A4" i="69"/>
  <c r="A6" i="69"/>
  <c r="A3" i="69"/>
  <c r="I4" i="68"/>
  <c r="K4" i="68" s="1"/>
  <c r="I3" i="68"/>
  <c r="K3" i="68" s="1"/>
  <c r="I2" i="68"/>
  <c r="I5" i="68"/>
  <c r="K5" i="68" s="1"/>
  <c r="K2" i="68"/>
  <c r="A5" i="68"/>
  <c r="A3" i="68"/>
  <c r="A4" i="68"/>
  <c r="A2" i="68"/>
  <c r="A6" i="68"/>
  <c r="I4" i="67"/>
  <c r="K4" i="67" s="1"/>
  <c r="I2" i="67"/>
  <c r="K2" i="67" s="1"/>
  <c r="I5" i="67"/>
  <c r="K5" i="67" s="1"/>
  <c r="I3" i="67"/>
  <c r="K3" i="67" s="1"/>
  <c r="I6" i="67"/>
  <c r="K6" i="67" s="1"/>
  <c r="A5" i="67"/>
  <c r="A3" i="67"/>
  <c r="A6" i="67"/>
  <c r="A4" i="67"/>
  <c r="A2" i="67"/>
  <c r="I3" i="66"/>
  <c r="K3" i="66" s="1"/>
  <c r="I5" i="66"/>
  <c r="K5" i="66" s="1"/>
  <c r="A5" i="66"/>
  <c r="A3" i="66"/>
  <c r="A6" i="66"/>
  <c r="A4" i="66"/>
  <c r="A2" i="66"/>
  <c r="K2" i="66"/>
  <c r="I4" i="65"/>
  <c r="K4" i="65" s="1"/>
  <c r="I3" i="65"/>
  <c r="K3" i="65" s="1"/>
  <c r="I5" i="65"/>
  <c r="K5" i="65" s="1"/>
  <c r="A5" i="65"/>
  <c r="A3" i="65"/>
  <c r="A6" i="65"/>
  <c r="A4" i="65"/>
  <c r="A2" i="65"/>
  <c r="K2" i="65"/>
  <c r="I5" i="64"/>
  <c r="K5" i="64" s="1"/>
  <c r="A6" i="61"/>
  <c r="I2" i="64"/>
  <c r="I6" i="64"/>
  <c r="K6" i="64" s="1"/>
  <c r="I3" i="64"/>
  <c r="K3" i="64" s="1"/>
  <c r="A5" i="64"/>
  <c r="A3" i="64"/>
  <c r="A4" i="64"/>
  <c r="A2" i="64"/>
  <c r="K2" i="64"/>
  <c r="I6" i="63"/>
  <c r="K6" i="63" s="1"/>
  <c r="I5" i="63"/>
  <c r="K5" i="63" s="1"/>
  <c r="I4" i="63"/>
  <c r="K4" i="63" s="1"/>
  <c r="I3" i="63"/>
  <c r="K3" i="63" s="1"/>
  <c r="A5" i="63"/>
  <c r="A3" i="63"/>
  <c r="A4" i="63"/>
  <c r="A2" i="63"/>
  <c r="I6" i="62"/>
  <c r="K6" i="62" s="1"/>
  <c r="I3" i="62"/>
  <c r="K3" i="62" s="1"/>
  <c r="A5" i="62"/>
  <c r="A3" i="62"/>
  <c r="A4" i="62"/>
  <c r="A2" i="62"/>
  <c r="I6" i="61"/>
  <c r="K6" i="61" s="1"/>
  <c r="I5" i="61"/>
  <c r="K5" i="61" s="1"/>
  <c r="A5" i="61"/>
  <c r="A4" i="61"/>
  <c r="A3" i="61"/>
  <c r="I3" i="61"/>
  <c r="K3" i="61" s="1"/>
  <c r="I4" i="61"/>
  <c r="K4" i="61" s="1"/>
  <c r="K2" i="61"/>
  <c r="I5" i="60"/>
  <c r="K5" i="60" s="1"/>
  <c r="I4" i="60"/>
  <c r="K4" i="60" s="1"/>
  <c r="I2" i="60"/>
  <c r="I3" i="60"/>
  <c r="K3" i="60" s="1"/>
  <c r="A5" i="60"/>
  <c r="A3" i="60"/>
  <c r="A6" i="60"/>
  <c r="A4" i="60"/>
  <c r="A2" i="60"/>
  <c r="I7" i="60"/>
  <c r="I9" i="60" s="1"/>
  <c r="K2" i="60"/>
  <c r="I6" i="59"/>
  <c r="K6" i="59" s="1"/>
  <c r="I4" i="59"/>
  <c r="I3" i="59"/>
  <c r="K3" i="59" s="1"/>
  <c r="I2" i="59"/>
  <c r="A6" i="59"/>
  <c r="A3" i="59"/>
  <c r="A7" i="59"/>
  <c r="A5" i="59"/>
  <c r="A2" i="59"/>
  <c r="I7" i="77" l="1"/>
  <c r="I9" i="77" s="1"/>
  <c r="I7" i="76"/>
  <c r="I9" i="76" s="1"/>
  <c r="I7" i="74"/>
  <c r="I9" i="74" s="1"/>
  <c r="K5" i="74"/>
  <c r="I7" i="73"/>
  <c r="I9" i="73" s="1"/>
  <c r="K2" i="73"/>
  <c r="I7" i="72"/>
  <c r="I9" i="72" s="1"/>
  <c r="I7" i="71"/>
  <c r="I9" i="71" s="1"/>
  <c r="I7" i="70"/>
  <c r="I9" i="70" s="1"/>
  <c r="I7" i="69"/>
  <c r="I9" i="69" s="1"/>
  <c r="K2" i="69"/>
  <c r="I7" i="68"/>
  <c r="I9" i="68" s="1"/>
  <c r="I7" i="67"/>
  <c r="I9" i="67" s="1"/>
  <c r="I7" i="66"/>
  <c r="I9" i="66" s="1"/>
  <c r="I7" i="65"/>
  <c r="I9" i="65" s="1"/>
  <c r="I7" i="64"/>
  <c r="I9" i="64" s="1"/>
  <c r="I7" i="63"/>
  <c r="I9" i="63" s="1"/>
  <c r="I7" i="62"/>
  <c r="I9" i="62" s="1"/>
  <c r="I7" i="61"/>
  <c r="I9" i="61" s="1"/>
  <c r="I8" i="59"/>
  <c r="I10" i="59" s="1"/>
  <c r="K2" i="59"/>
  <c r="A1" i="58" a="1"/>
  <c r="A1" i="58" s="1"/>
  <c r="A2" i="58" s="1"/>
  <c r="A1" i="57" a="1"/>
  <c r="A1" i="57" s="1"/>
  <c r="A2" i="57" s="1"/>
  <c r="F2" i="58"/>
  <c r="A6" i="57" l="1"/>
  <c r="A4" i="57"/>
  <c r="A5" i="57"/>
  <c r="A3" i="57"/>
  <c r="A6" i="58"/>
  <c r="A5" i="58"/>
  <c r="A3" i="58"/>
  <c r="A4" i="58"/>
  <c r="J6" i="58"/>
  <c r="H6" i="58"/>
  <c r="G6" i="58"/>
  <c r="J5" i="58"/>
  <c r="H5" i="58"/>
  <c r="G5" i="58"/>
  <c r="J4" i="58"/>
  <c r="H4" i="58"/>
  <c r="G4" i="58"/>
  <c r="J3" i="58"/>
  <c r="H3" i="58"/>
  <c r="I3" i="58" s="1"/>
  <c r="K3" i="58" s="1"/>
  <c r="G3" i="58"/>
  <c r="J2" i="58"/>
  <c r="H2" i="58"/>
  <c r="G2" i="58"/>
  <c r="J6" i="57"/>
  <c r="H6" i="57"/>
  <c r="G6" i="57"/>
  <c r="J5" i="57"/>
  <c r="H5" i="57"/>
  <c r="G5" i="57"/>
  <c r="I5" i="57" s="1"/>
  <c r="K5" i="57" s="1"/>
  <c r="J4" i="57"/>
  <c r="H4" i="57"/>
  <c r="G4" i="57"/>
  <c r="J3" i="57"/>
  <c r="H3" i="57"/>
  <c r="G3" i="57"/>
  <c r="J2" i="57"/>
  <c r="H2" i="57"/>
  <c r="G2" i="57"/>
  <c r="J6" i="56"/>
  <c r="H6" i="56"/>
  <c r="G6" i="56"/>
  <c r="J5" i="56"/>
  <c r="H5" i="56"/>
  <c r="G5" i="56"/>
  <c r="J4" i="56"/>
  <c r="H4" i="56"/>
  <c r="G4" i="56"/>
  <c r="J3" i="56"/>
  <c r="H3" i="56"/>
  <c r="G3" i="56"/>
  <c r="J2" i="56"/>
  <c r="H2" i="56"/>
  <c r="G2" i="56"/>
  <c r="I2" i="56" s="1"/>
  <c r="A1" i="56" a="1"/>
  <c r="A1" i="56" s="1"/>
  <c r="A1" i="55" a="1"/>
  <c r="A1" i="55" s="1"/>
  <c r="A2" i="55" s="1"/>
  <c r="J6" i="55"/>
  <c r="H6" i="55"/>
  <c r="G6" i="55"/>
  <c r="J5" i="55"/>
  <c r="H5" i="55"/>
  <c r="G5" i="55"/>
  <c r="J4" i="55"/>
  <c r="H4" i="55"/>
  <c r="G4" i="55"/>
  <c r="I4" i="55" s="1"/>
  <c r="K4" i="55" s="1"/>
  <c r="J3" i="55"/>
  <c r="H3" i="55"/>
  <c r="G3" i="55"/>
  <c r="J2" i="55"/>
  <c r="H2" i="55"/>
  <c r="G2" i="55"/>
  <c r="I2" i="55" s="1"/>
  <c r="J6" i="54"/>
  <c r="H6" i="54"/>
  <c r="G6" i="54"/>
  <c r="J5" i="54"/>
  <c r="H5" i="54"/>
  <c r="G5" i="54"/>
  <c r="J4" i="54"/>
  <c r="H4" i="54"/>
  <c r="G4" i="54"/>
  <c r="I4" i="54" s="1"/>
  <c r="K4" i="54" s="1"/>
  <c r="J3" i="54"/>
  <c r="H3" i="54"/>
  <c r="G3" i="54"/>
  <c r="J2" i="54"/>
  <c r="H2" i="54"/>
  <c r="G2" i="54"/>
  <c r="K6" i="53"/>
  <c r="J6" i="53"/>
  <c r="H6" i="53"/>
  <c r="G6" i="53"/>
  <c r="J5" i="53"/>
  <c r="H5" i="53"/>
  <c r="G5" i="53"/>
  <c r="J4" i="53"/>
  <c r="H4" i="53"/>
  <c r="G4" i="53"/>
  <c r="J3" i="53"/>
  <c r="H3" i="53"/>
  <c r="G3" i="53"/>
  <c r="J2" i="53"/>
  <c r="H2" i="53"/>
  <c r="G2" i="53"/>
  <c r="I2" i="53" s="1"/>
  <c r="J6" i="52"/>
  <c r="H6" i="52"/>
  <c r="G6" i="52"/>
  <c r="J5" i="52"/>
  <c r="H5" i="52"/>
  <c r="G5" i="52"/>
  <c r="J4" i="52"/>
  <c r="H4" i="52"/>
  <c r="G4" i="52"/>
  <c r="J3" i="52"/>
  <c r="H3" i="52"/>
  <c r="G3" i="52"/>
  <c r="J2" i="52"/>
  <c r="H2" i="52"/>
  <c r="G2" i="52"/>
  <c r="J6" i="51"/>
  <c r="H6" i="51"/>
  <c r="G6" i="51"/>
  <c r="J5" i="51"/>
  <c r="H5" i="51"/>
  <c r="G5" i="51"/>
  <c r="J4" i="51"/>
  <c r="H4" i="51"/>
  <c r="G4" i="51"/>
  <c r="J3" i="51"/>
  <c r="H3" i="51"/>
  <c r="G3" i="51"/>
  <c r="J2" i="51"/>
  <c r="H2" i="51"/>
  <c r="G2" i="51"/>
  <c r="I2" i="51" s="1"/>
  <c r="J6" i="50"/>
  <c r="H6" i="50"/>
  <c r="G6" i="50"/>
  <c r="J5" i="50"/>
  <c r="H5" i="50"/>
  <c r="G5" i="50"/>
  <c r="I5" i="50" s="1"/>
  <c r="K5" i="50" s="1"/>
  <c r="J4" i="50"/>
  <c r="H4" i="50"/>
  <c r="G4" i="50"/>
  <c r="J3" i="50"/>
  <c r="H3" i="50"/>
  <c r="G3" i="50"/>
  <c r="J2" i="50"/>
  <c r="H2" i="50"/>
  <c r="G2" i="50"/>
  <c r="J6" i="49"/>
  <c r="H6" i="49"/>
  <c r="G6" i="49"/>
  <c r="J5" i="49"/>
  <c r="H5" i="49"/>
  <c r="G5" i="49"/>
  <c r="J4" i="49"/>
  <c r="H4" i="49"/>
  <c r="G4" i="49"/>
  <c r="I4" i="49" s="1"/>
  <c r="K4" i="49" s="1"/>
  <c r="J3" i="49"/>
  <c r="H3" i="49"/>
  <c r="G3" i="49"/>
  <c r="J2" i="49"/>
  <c r="H2" i="49"/>
  <c r="G2" i="49"/>
  <c r="I2" i="49" s="1"/>
  <c r="J6" i="48"/>
  <c r="H6" i="48"/>
  <c r="G6" i="48"/>
  <c r="J5" i="48"/>
  <c r="H5" i="48"/>
  <c r="G5" i="48"/>
  <c r="J4" i="48"/>
  <c r="H4" i="48"/>
  <c r="G4" i="48"/>
  <c r="J3" i="48"/>
  <c r="H3" i="48"/>
  <c r="G3" i="48"/>
  <c r="J2" i="48"/>
  <c r="H2" i="48"/>
  <c r="G2" i="48"/>
  <c r="J6" i="47"/>
  <c r="H6" i="47"/>
  <c r="G6" i="47"/>
  <c r="J5" i="47"/>
  <c r="H5" i="47"/>
  <c r="G5" i="47"/>
  <c r="I5" i="47" s="1"/>
  <c r="K5" i="47" s="1"/>
  <c r="J4" i="47"/>
  <c r="H4" i="47"/>
  <c r="G4" i="47"/>
  <c r="J3" i="47"/>
  <c r="H3" i="47"/>
  <c r="G3" i="47"/>
  <c r="J2" i="47"/>
  <c r="H2" i="47"/>
  <c r="G2" i="47"/>
  <c r="I2" i="47" s="1"/>
  <c r="J6" i="46"/>
  <c r="H6" i="46"/>
  <c r="G6" i="46"/>
  <c r="I6" i="46" s="1"/>
  <c r="K6" i="46" s="1"/>
  <c r="J5" i="46"/>
  <c r="H5" i="46"/>
  <c r="G5" i="46"/>
  <c r="J4" i="46"/>
  <c r="H4" i="46"/>
  <c r="G4" i="46"/>
  <c r="J3" i="46"/>
  <c r="H3" i="46"/>
  <c r="G3" i="46"/>
  <c r="J2" i="46"/>
  <c r="H2" i="46"/>
  <c r="G2" i="46"/>
  <c r="J6" i="45"/>
  <c r="H6" i="45"/>
  <c r="G6" i="45"/>
  <c r="J5" i="45"/>
  <c r="H5" i="45"/>
  <c r="G5" i="45"/>
  <c r="J4" i="45"/>
  <c r="H4" i="45"/>
  <c r="G4" i="45"/>
  <c r="J3" i="45"/>
  <c r="H3" i="45"/>
  <c r="G3" i="45"/>
  <c r="J2" i="45"/>
  <c r="H2" i="45"/>
  <c r="G2" i="45"/>
  <c r="J6" i="44"/>
  <c r="H6" i="44"/>
  <c r="G6" i="44"/>
  <c r="J5" i="44"/>
  <c r="H5" i="44"/>
  <c r="G5" i="44"/>
  <c r="J4" i="44"/>
  <c r="H4" i="44"/>
  <c r="G4" i="44"/>
  <c r="I4" i="44" s="1"/>
  <c r="K4" i="44" s="1"/>
  <c r="J3" i="44"/>
  <c r="H3" i="44"/>
  <c r="G3" i="44"/>
  <c r="J2" i="44"/>
  <c r="H2" i="44"/>
  <c r="G2" i="44"/>
  <c r="J6" i="43"/>
  <c r="H6" i="43"/>
  <c r="G6" i="43"/>
  <c r="J5" i="43"/>
  <c r="H5" i="43"/>
  <c r="G5" i="43"/>
  <c r="J4" i="43"/>
  <c r="H4" i="43"/>
  <c r="G4" i="43"/>
  <c r="J3" i="43"/>
  <c r="H3" i="43"/>
  <c r="G3" i="43"/>
  <c r="J2" i="43"/>
  <c r="H2" i="43"/>
  <c r="G2" i="43"/>
  <c r="J6" i="42"/>
  <c r="H6" i="42"/>
  <c r="G6" i="42"/>
  <c r="J5" i="42"/>
  <c r="H5" i="42"/>
  <c r="G5" i="42"/>
  <c r="J4" i="42"/>
  <c r="H4" i="42"/>
  <c r="G4" i="42"/>
  <c r="J3" i="42"/>
  <c r="H3" i="42"/>
  <c r="G3" i="42"/>
  <c r="J2" i="42"/>
  <c r="H2" i="42"/>
  <c r="G2" i="42"/>
  <c r="J6" i="41"/>
  <c r="H6" i="41"/>
  <c r="G6" i="41"/>
  <c r="J5" i="41"/>
  <c r="H5" i="41"/>
  <c r="G5" i="41"/>
  <c r="J4" i="41"/>
  <c r="H4" i="41"/>
  <c r="G4" i="41"/>
  <c r="J3" i="41"/>
  <c r="H3" i="41"/>
  <c r="G3" i="41"/>
  <c r="J2" i="41"/>
  <c r="H2" i="41"/>
  <c r="G2" i="41"/>
  <c r="I2" i="41" s="1"/>
  <c r="J6" i="40"/>
  <c r="H6" i="40"/>
  <c r="G6" i="40"/>
  <c r="J5" i="40"/>
  <c r="H5" i="40"/>
  <c r="G5" i="40"/>
  <c r="J4" i="40"/>
  <c r="H4" i="40"/>
  <c r="G4" i="40"/>
  <c r="J3" i="40"/>
  <c r="H3" i="40"/>
  <c r="G3" i="40"/>
  <c r="J2" i="40"/>
  <c r="H2" i="40"/>
  <c r="G2" i="40"/>
  <c r="J6" i="39"/>
  <c r="H6" i="39"/>
  <c r="G6" i="39"/>
  <c r="J5" i="39"/>
  <c r="H5" i="39"/>
  <c r="G5" i="39"/>
  <c r="J4" i="39"/>
  <c r="H4" i="39"/>
  <c r="G4" i="39"/>
  <c r="K3" i="39"/>
  <c r="J3" i="39"/>
  <c r="H3" i="39"/>
  <c r="G3" i="39"/>
  <c r="I3" i="39" s="1"/>
  <c r="J2" i="39"/>
  <c r="H2" i="39"/>
  <c r="G2" i="39"/>
  <c r="J6" i="38"/>
  <c r="H6" i="38"/>
  <c r="G6" i="38"/>
  <c r="J5" i="38"/>
  <c r="H5" i="38"/>
  <c r="G5" i="38"/>
  <c r="J4" i="38"/>
  <c r="H4" i="38"/>
  <c r="G4" i="38"/>
  <c r="J3" i="38"/>
  <c r="H3" i="38"/>
  <c r="G3" i="38"/>
  <c r="J2" i="38"/>
  <c r="H2" i="38"/>
  <c r="G2" i="38"/>
  <c r="J6" i="37"/>
  <c r="H6" i="37"/>
  <c r="G6" i="37"/>
  <c r="J5" i="37"/>
  <c r="H5" i="37"/>
  <c r="G5" i="37"/>
  <c r="J4" i="37"/>
  <c r="H4" i="37"/>
  <c r="G4" i="37"/>
  <c r="J3" i="37"/>
  <c r="H3" i="37"/>
  <c r="G3" i="37"/>
  <c r="J2" i="37"/>
  <c r="H2" i="37"/>
  <c r="G2" i="37"/>
  <c r="J6" i="36"/>
  <c r="H6" i="36"/>
  <c r="G6" i="36"/>
  <c r="J5" i="36"/>
  <c r="H5" i="36"/>
  <c r="G5" i="36"/>
  <c r="J4" i="36"/>
  <c r="H4" i="36"/>
  <c r="G4" i="36"/>
  <c r="J3" i="36"/>
  <c r="H3" i="36"/>
  <c r="G3" i="36"/>
  <c r="J2" i="36"/>
  <c r="H2" i="36"/>
  <c r="G2" i="36"/>
  <c r="J6" i="35"/>
  <c r="H6" i="35"/>
  <c r="G6" i="35"/>
  <c r="J5" i="35"/>
  <c r="H5" i="35"/>
  <c r="G5" i="35"/>
  <c r="J4" i="35"/>
  <c r="H4" i="35"/>
  <c r="G4" i="35"/>
  <c r="J3" i="35"/>
  <c r="H3" i="35"/>
  <c r="G3" i="35"/>
  <c r="J2" i="35"/>
  <c r="H2" i="35"/>
  <c r="G2" i="35"/>
  <c r="J6" i="34"/>
  <c r="H6" i="34"/>
  <c r="G6" i="34"/>
  <c r="J5" i="34"/>
  <c r="H5" i="34"/>
  <c r="G5" i="34"/>
  <c r="J4" i="34"/>
  <c r="H4" i="34"/>
  <c r="G4" i="34"/>
  <c r="J3" i="34"/>
  <c r="H3" i="34"/>
  <c r="G3" i="34"/>
  <c r="J2" i="34"/>
  <c r="H2" i="34"/>
  <c r="G2" i="34"/>
  <c r="J6" i="33"/>
  <c r="H6" i="33"/>
  <c r="G6" i="33"/>
  <c r="J5" i="33"/>
  <c r="H5" i="33"/>
  <c r="G5" i="33"/>
  <c r="J4" i="33"/>
  <c r="H4" i="33"/>
  <c r="G4" i="33"/>
  <c r="J3" i="33"/>
  <c r="H3" i="33"/>
  <c r="G3" i="33"/>
  <c r="J2" i="33"/>
  <c r="H2" i="33"/>
  <c r="G2" i="33"/>
  <c r="J6" i="32"/>
  <c r="H6" i="32"/>
  <c r="G6" i="32"/>
  <c r="J5" i="32"/>
  <c r="H5" i="32"/>
  <c r="G5" i="32"/>
  <c r="I5" i="32" s="1"/>
  <c r="K5" i="32" s="1"/>
  <c r="J4" i="32"/>
  <c r="H4" i="32"/>
  <c r="G4" i="32"/>
  <c r="J3" i="32"/>
  <c r="H3" i="32"/>
  <c r="G3" i="32"/>
  <c r="J2" i="32"/>
  <c r="H2" i="32"/>
  <c r="G2" i="32"/>
  <c r="K2" i="31"/>
  <c r="J3" i="31"/>
  <c r="J4" i="31"/>
  <c r="J5" i="31"/>
  <c r="J6" i="31"/>
  <c r="J2" i="31"/>
  <c r="H6" i="31"/>
  <c r="G6" i="31"/>
  <c r="I6" i="31" s="1"/>
  <c r="K6" i="31" s="1"/>
  <c r="H5" i="31"/>
  <c r="G5" i="31"/>
  <c r="H4" i="31"/>
  <c r="G4" i="31"/>
  <c r="I4" i="31" s="1"/>
  <c r="K4" i="31" s="1"/>
  <c r="H3" i="31"/>
  <c r="G3" i="31"/>
  <c r="H2" i="31"/>
  <c r="G2" i="31"/>
  <c r="J6" i="30"/>
  <c r="H6" i="30"/>
  <c r="G6" i="30"/>
  <c r="I6" i="30" s="1"/>
  <c r="K6" i="30" s="1"/>
  <c r="J5" i="30"/>
  <c r="H5" i="30"/>
  <c r="G5" i="30"/>
  <c r="I5" i="30" s="1"/>
  <c r="K5" i="30" s="1"/>
  <c r="J4" i="30"/>
  <c r="H4" i="30"/>
  <c r="G4" i="30"/>
  <c r="I4" i="30" s="1"/>
  <c r="K4" i="30" s="1"/>
  <c r="J3" i="30"/>
  <c r="H3" i="30"/>
  <c r="G3" i="30"/>
  <c r="J2" i="30"/>
  <c r="H2" i="30"/>
  <c r="G2" i="30"/>
  <c r="I2" i="30" s="1"/>
  <c r="J6" i="29"/>
  <c r="H6" i="29"/>
  <c r="G6" i="29"/>
  <c r="I6" i="29" s="1"/>
  <c r="K6" i="29" s="1"/>
  <c r="J5" i="29"/>
  <c r="H5" i="29"/>
  <c r="G5" i="29"/>
  <c r="I5" i="29" s="1"/>
  <c r="K5" i="29" s="1"/>
  <c r="J4" i="29"/>
  <c r="H4" i="29"/>
  <c r="G4" i="29"/>
  <c r="J3" i="29"/>
  <c r="H3" i="29"/>
  <c r="G3" i="29"/>
  <c r="J2" i="29"/>
  <c r="H2" i="29"/>
  <c r="G2" i="29"/>
  <c r="J6" i="28"/>
  <c r="H6" i="28"/>
  <c r="G6" i="28"/>
  <c r="J5" i="28"/>
  <c r="H5" i="28"/>
  <c r="G5" i="28"/>
  <c r="J4" i="28"/>
  <c r="H4" i="28"/>
  <c r="G4" i="28"/>
  <c r="J3" i="28"/>
  <c r="H3" i="28"/>
  <c r="G3" i="28"/>
  <c r="J2" i="28"/>
  <c r="H2" i="28"/>
  <c r="G2" i="28"/>
  <c r="J6" i="27"/>
  <c r="H6" i="27"/>
  <c r="G6" i="27"/>
  <c r="J5" i="27"/>
  <c r="H5" i="27"/>
  <c r="G5" i="27"/>
  <c r="K4" i="27"/>
  <c r="J4" i="27"/>
  <c r="H4" i="27"/>
  <c r="I4" i="27" s="1"/>
  <c r="G4" i="27"/>
  <c r="K3" i="27"/>
  <c r="J3" i="27"/>
  <c r="H3" i="27"/>
  <c r="G3" i="27"/>
  <c r="K2" i="27"/>
  <c r="J2" i="27"/>
  <c r="H2" i="27"/>
  <c r="G2" i="27"/>
  <c r="I2" i="27" s="1"/>
  <c r="I2" i="40" l="1"/>
  <c r="K2" i="40" s="1"/>
  <c r="I6" i="44"/>
  <c r="K6" i="44" s="1"/>
  <c r="I4" i="46"/>
  <c r="K4" i="46" s="1"/>
  <c r="I2" i="48"/>
  <c r="K2" i="48" s="1"/>
  <c r="I6" i="48"/>
  <c r="K6" i="48" s="1"/>
  <c r="I2" i="52"/>
  <c r="I6" i="52"/>
  <c r="K6" i="52" s="1"/>
  <c r="I2" i="31"/>
  <c r="I6" i="33"/>
  <c r="K6" i="33" s="1"/>
  <c r="I4" i="35"/>
  <c r="K4" i="35" s="1"/>
  <c r="I6" i="53"/>
  <c r="I3" i="33"/>
  <c r="K3" i="33" s="1"/>
  <c r="I5" i="35"/>
  <c r="K5" i="35" s="1"/>
  <c r="I2" i="38"/>
  <c r="I6" i="38"/>
  <c r="K6" i="38" s="1"/>
  <c r="I3" i="27"/>
  <c r="I2" i="39"/>
  <c r="I4" i="58"/>
  <c r="K4" i="58" s="1"/>
  <c r="I5" i="58"/>
  <c r="K5" i="58" s="1"/>
  <c r="I6" i="58"/>
  <c r="K6" i="58" s="1"/>
  <c r="I2" i="58"/>
  <c r="K2" i="58"/>
  <c r="I3" i="57"/>
  <c r="K3" i="57" s="1"/>
  <c r="I4" i="57"/>
  <c r="K4" i="57" s="1"/>
  <c r="I2" i="57"/>
  <c r="I6" i="57"/>
  <c r="K6" i="57" s="1"/>
  <c r="K2" i="57"/>
  <c r="I6" i="56"/>
  <c r="K6" i="56" s="1"/>
  <c r="I4" i="56"/>
  <c r="K4" i="56" s="1"/>
  <c r="I5" i="56"/>
  <c r="K5" i="56" s="1"/>
  <c r="I3" i="56"/>
  <c r="K3" i="56" s="1"/>
  <c r="A2" i="56"/>
  <c r="A5" i="56"/>
  <c r="A3" i="56"/>
  <c r="A4" i="56"/>
  <c r="A6" i="56"/>
  <c r="K2" i="56"/>
  <c r="I6" i="55"/>
  <c r="K6" i="55" s="1"/>
  <c r="I3" i="55"/>
  <c r="K3" i="55" s="1"/>
  <c r="A6" i="55"/>
  <c r="A5" i="55"/>
  <c r="A4" i="55"/>
  <c r="A3" i="55"/>
  <c r="I5" i="55"/>
  <c r="K5" i="55" s="1"/>
  <c r="K2" i="55"/>
  <c r="I3" i="54"/>
  <c r="K3" i="54" s="1"/>
  <c r="I2" i="54"/>
  <c r="K2" i="54" s="1"/>
  <c r="I5" i="54"/>
  <c r="K5" i="54" s="1"/>
  <c r="I6" i="54"/>
  <c r="K6" i="54" s="1"/>
  <c r="I5" i="53"/>
  <c r="K5" i="53" s="1"/>
  <c r="I4" i="53"/>
  <c r="K4" i="53" s="1"/>
  <c r="I3" i="53"/>
  <c r="K3" i="53" s="1"/>
  <c r="K2" i="53"/>
  <c r="I5" i="52"/>
  <c r="K5" i="52" s="1"/>
  <c r="I4" i="52"/>
  <c r="K4" i="52" s="1"/>
  <c r="I3" i="52"/>
  <c r="K2" i="52"/>
  <c r="I5" i="51"/>
  <c r="K5" i="51" s="1"/>
  <c r="I4" i="51"/>
  <c r="K4" i="51" s="1"/>
  <c r="I3" i="51"/>
  <c r="K3" i="51" s="1"/>
  <c r="I6" i="51"/>
  <c r="K6" i="51" s="1"/>
  <c r="K2" i="51"/>
  <c r="I6" i="50"/>
  <c r="K6" i="50" s="1"/>
  <c r="I4" i="50"/>
  <c r="K4" i="50" s="1"/>
  <c r="I2" i="50"/>
  <c r="I3" i="50"/>
  <c r="K3" i="50" s="1"/>
  <c r="K2" i="50"/>
  <c r="I3" i="49"/>
  <c r="K3" i="49" s="1"/>
  <c r="I5" i="49"/>
  <c r="K5" i="49" s="1"/>
  <c r="I6" i="49"/>
  <c r="K6" i="49" s="1"/>
  <c r="K2" i="49"/>
  <c r="I4" i="48"/>
  <c r="K4" i="48" s="1"/>
  <c r="I5" i="48"/>
  <c r="K5" i="48" s="1"/>
  <c r="I3" i="48"/>
  <c r="K3" i="48" s="1"/>
  <c r="I6" i="47"/>
  <c r="K6" i="47" s="1"/>
  <c r="I4" i="47"/>
  <c r="K4" i="47" s="1"/>
  <c r="I3" i="47"/>
  <c r="K3" i="47" s="1"/>
  <c r="K2" i="47"/>
  <c r="I5" i="46"/>
  <c r="K5" i="46" s="1"/>
  <c r="I2" i="46"/>
  <c r="I3" i="46"/>
  <c r="K3" i="46" s="1"/>
  <c r="K2" i="46"/>
  <c r="I6" i="45"/>
  <c r="K6" i="45" s="1"/>
  <c r="I5" i="45"/>
  <c r="K5" i="45" s="1"/>
  <c r="I2" i="45"/>
  <c r="K2" i="45" s="1"/>
  <c r="I4" i="45"/>
  <c r="K4" i="45" s="1"/>
  <c r="I3" i="45"/>
  <c r="K3" i="45" s="1"/>
  <c r="I5" i="44"/>
  <c r="K5" i="44" s="1"/>
  <c r="I2" i="44"/>
  <c r="I3" i="44"/>
  <c r="K3" i="44" s="1"/>
  <c r="K2" i="44"/>
  <c r="I5" i="43"/>
  <c r="K5" i="43" s="1"/>
  <c r="I4" i="43"/>
  <c r="K4" i="43" s="1"/>
  <c r="I2" i="43"/>
  <c r="I3" i="43"/>
  <c r="K3" i="43" s="1"/>
  <c r="I6" i="43"/>
  <c r="K6" i="43" s="1"/>
  <c r="I6" i="42"/>
  <c r="K6" i="42" s="1"/>
  <c r="I5" i="42"/>
  <c r="K5" i="42" s="1"/>
  <c r="I4" i="42"/>
  <c r="K4" i="42" s="1"/>
  <c r="I2" i="42"/>
  <c r="I3" i="42"/>
  <c r="K3" i="42" s="1"/>
  <c r="I6" i="41"/>
  <c r="K6" i="41" s="1"/>
  <c r="I5" i="41"/>
  <c r="K5" i="41" s="1"/>
  <c r="I4" i="41"/>
  <c r="K4" i="41" s="1"/>
  <c r="I3" i="41"/>
  <c r="K3" i="41" s="1"/>
  <c r="K2" i="41"/>
  <c r="I6" i="40"/>
  <c r="K6" i="40" s="1"/>
  <c r="I5" i="40"/>
  <c r="K5" i="40" s="1"/>
  <c r="I4" i="40"/>
  <c r="K4" i="40" s="1"/>
  <c r="I3" i="40"/>
  <c r="K3" i="40" s="1"/>
  <c r="I6" i="39"/>
  <c r="K6" i="39" s="1"/>
  <c r="I5" i="39"/>
  <c r="I4" i="39"/>
  <c r="K4" i="39" s="1"/>
  <c r="K2" i="39"/>
  <c r="I3" i="38"/>
  <c r="K3" i="38" s="1"/>
  <c r="I4" i="38"/>
  <c r="K4" i="38" s="1"/>
  <c r="I5" i="38"/>
  <c r="K5" i="38" s="1"/>
  <c r="K2" i="38"/>
  <c r="I6" i="37"/>
  <c r="K6" i="37" s="1"/>
  <c r="I5" i="37"/>
  <c r="K5" i="37" s="1"/>
  <c r="I4" i="37"/>
  <c r="K4" i="37" s="1"/>
  <c r="I3" i="37"/>
  <c r="K3" i="37" s="1"/>
  <c r="I2" i="37"/>
  <c r="K2" i="37" s="1"/>
  <c r="I6" i="36"/>
  <c r="K6" i="36" s="1"/>
  <c r="I4" i="36"/>
  <c r="K4" i="36" s="1"/>
  <c r="I2" i="36"/>
  <c r="I3" i="36"/>
  <c r="K3" i="36" s="1"/>
  <c r="I5" i="36"/>
  <c r="K5" i="36" s="1"/>
  <c r="K2" i="36"/>
  <c r="I6" i="35"/>
  <c r="K6" i="35" s="1"/>
  <c r="I2" i="35"/>
  <c r="K2" i="35" s="1"/>
  <c r="I3" i="35"/>
  <c r="K3" i="35" s="1"/>
  <c r="I5" i="34"/>
  <c r="K5" i="34" s="1"/>
  <c r="I4" i="34"/>
  <c r="K4" i="34" s="1"/>
  <c r="I3" i="34"/>
  <c r="K3" i="34" s="1"/>
  <c r="I2" i="34"/>
  <c r="I6" i="34"/>
  <c r="K6" i="34" s="1"/>
  <c r="I5" i="33"/>
  <c r="K5" i="33" s="1"/>
  <c r="I2" i="33"/>
  <c r="K2" i="33" s="1"/>
  <c r="I4" i="33"/>
  <c r="K4" i="33" s="1"/>
  <c r="I6" i="32"/>
  <c r="K6" i="32" s="1"/>
  <c r="I4" i="32"/>
  <c r="K4" i="32" s="1"/>
  <c r="I2" i="32"/>
  <c r="K2" i="32" s="1"/>
  <c r="I3" i="32"/>
  <c r="K3" i="32" s="1"/>
  <c r="I5" i="31"/>
  <c r="K5" i="31" s="1"/>
  <c r="I3" i="31"/>
  <c r="K3" i="31" s="1"/>
  <c r="I3" i="30"/>
  <c r="K3" i="30" s="1"/>
  <c r="K2" i="30"/>
  <c r="I4" i="29"/>
  <c r="K4" i="29" s="1"/>
  <c r="I3" i="29"/>
  <c r="K3" i="29" s="1"/>
  <c r="I2" i="29"/>
  <c r="I6" i="28"/>
  <c r="K6" i="28" s="1"/>
  <c r="I4" i="28"/>
  <c r="K4" i="28" s="1"/>
  <c r="I3" i="28"/>
  <c r="K3" i="28" s="1"/>
  <c r="I2" i="28"/>
  <c r="K2" i="28" s="1"/>
  <c r="I5" i="28"/>
  <c r="K5" i="28" s="1"/>
  <c r="I5" i="27"/>
  <c r="K5" i="27" s="1"/>
  <c r="I6" i="27"/>
  <c r="I7" i="57" l="1"/>
  <c r="I9" i="57" s="1"/>
  <c r="I7" i="58"/>
  <c r="I9" i="58" s="1"/>
  <c r="I7" i="56"/>
  <c r="I9" i="56" s="1"/>
  <c r="I7" i="55"/>
  <c r="I9" i="55" s="1"/>
  <c r="I7" i="54"/>
  <c r="I9" i="54" s="1"/>
  <c r="I7" i="53"/>
  <c r="I9" i="53" s="1"/>
  <c r="I7" i="52"/>
  <c r="I9" i="52" s="1"/>
  <c r="K3" i="52"/>
  <c r="I7" i="51"/>
  <c r="I9" i="51" s="1"/>
  <c r="I7" i="50"/>
  <c r="I9" i="50" s="1"/>
  <c r="I7" i="49"/>
  <c r="I9" i="49" s="1"/>
  <c r="I7" i="48"/>
  <c r="I9" i="48" s="1"/>
  <c r="I7" i="47"/>
  <c r="I9" i="47" s="1"/>
  <c r="I7" i="46"/>
  <c r="I9" i="46" s="1"/>
  <c r="I7" i="45"/>
  <c r="I9" i="45" s="1"/>
  <c r="I7" i="44"/>
  <c r="I9" i="44" s="1"/>
  <c r="I7" i="43"/>
  <c r="I9" i="43" s="1"/>
  <c r="K2" i="43"/>
  <c r="I7" i="42"/>
  <c r="I9" i="42" s="1"/>
  <c r="K2" i="42"/>
  <c r="I7" i="41"/>
  <c r="I9" i="41" s="1"/>
  <c r="I7" i="40"/>
  <c r="I9" i="40" s="1"/>
  <c r="I7" i="39"/>
  <c r="I9" i="39" s="1"/>
  <c r="K5" i="39"/>
  <c r="I7" i="38"/>
  <c r="I9" i="38" s="1"/>
  <c r="I7" i="37"/>
  <c r="I9" i="37" s="1"/>
  <c r="I7" i="36"/>
  <c r="I9" i="36" s="1"/>
  <c r="I7" i="35"/>
  <c r="I9" i="35" s="1"/>
  <c r="I7" i="34"/>
  <c r="I9" i="34" s="1"/>
  <c r="K2" i="34"/>
  <c r="I7" i="33"/>
  <c r="I9" i="33" s="1"/>
  <c r="I7" i="32"/>
  <c r="I9" i="32" s="1"/>
  <c r="I7" i="31"/>
  <c r="I9" i="31" s="1"/>
  <c r="I7" i="30"/>
  <c r="I9" i="30" s="1"/>
  <c r="I7" i="29"/>
  <c r="I9" i="29" s="1"/>
  <c r="K2" i="29"/>
  <c r="I7" i="28"/>
  <c r="I9" i="28" s="1"/>
  <c r="I7" i="27"/>
  <c r="I9" i="27" s="1"/>
  <c r="K6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<sst xmlns="http://schemas.openxmlformats.org/spreadsheetml/2006/main" count="764" uniqueCount="18">
  <si>
    <t>In</t>
  </si>
  <si>
    <t>Out</t>
  </si>
  <si>
    <t>Morning Hours</t>
  </si>
  <si>
    <t>Afternoon Hours</t>
  </si>
  <si>
    <t>Total Hours</t>
  </si>
  <si>
    <t>Monday</t>
  </si>
  <si>
    <t>Tuesday</t>
  </si>
  <si>
    <t>Wednesday</t>
  </si>
  <si>
    <t>Thursday</t>
  </si>
  <si>
    <t>Friday</t>
  </si>
  <si>
    <t>Weekly Hour</t>
  </si>
  <si>
    <t>Hours to 40</t>
  </si>
  <si>
    <t>Lunch
(Mins)</t>
  </si>
  <si>
    <t>(Lunch)
Out</t>
  </si>
  <si>
    <t>(Lunch)
In</t>
  </si>
  <si>
    <t>Applicable
PTO / Holiday</t>
  </si>
  <si>
    <t>Over / Under
(Mins)</t>
  </si>
  <si>
    <t>Applicable
PTO / Holiday / Bereavement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</si>
</sst>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2D2D2D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1" xfId="0" applyNumberFormat="1" applyFont="1" applyBorder="1" applyAlignment="1">
      <alignment horizontal="center"/>
    </xf>
    <xf numFmtId="43" fontId="5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2" fillId="0" borderId="4" xfId="0" applyNumberFormat="1" applyFont="1" applyBorder="1" applyAlignment="1">
      <alignment horizontal="center"/>
    </xf>
    <xf numFmtId="18" fontId="2" fillId="0" borderId="0" xfId="0" applyNumberFormat="1" applyFont="1" applyAlignment="1">
      <alignment horizontal="center"/>
    </xf>
    <xf numFmtId="40" fontId="0" fillId="0" borderId="0" xfId="0" applyNumberFormat="1"/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5" xfId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/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43" fontId="4" fillId="2" borderId="7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43" fontId="4" fillId="0" borderId="1" xfId="1" applyFont="1" applyFill="1" applyBorder="1" applyAlignment="1">
      <alignment horizontal="center"/>
    </xf>
    <xf numFmtId="43" fontId="4" fillId="0" borderId="9" xfId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18" fontId="2" fillId="3" borderId="7" xfId="0" applyNumberFormat="1" applyFont="1" applyFill="1" applyBorder="1" applyAlignment="1">
      <alignment horizontal="center"/>
    </xf>
    <xf numFmtId="18" fontId="2" fillId="3" borderId="8" xfId="0" applyNumberFormat="1" applyFont="1" applyFill="1" applyBorder="1" applyAlignment="1">
      <alignment horizontal="center"/>
    </xf>
    <xf numFmtId="18" fontId="2" fillId="4" borderId="7" xfId="0" applyNumberFormat="1" applyFont="1" applyFill="1" applyBorder="1" applyAlignment="1">
      <alignment horizontal="center"/>
    </xf>
    <xf numFmtId="18" fontId="2" fillId="4" borderId="8" xfId="0" applyNumberFormat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18" fontId="2" fillId="2" borderId="7" xfId="0" applyNumberFormat="1" applyFont="1" applyFill="1" applyBorder="1" applyAlignment="1">
      <alignment horizontal="center"/>
    </xf>
    <xf numFmtId="18" fontId="2" fillId="2" borderId="8" xfId="0" applyNumberFormat="1" applyFont="1" applyFill="1" applyBorder="1" applyAlignment="1">
      <alignment horizontal="center"/>
    </xf>
    <xf numFmtId="43" fontId="0" fillId="0" borderId="0" xfId="0" applyNumberFormat="1"/>
    <xf numFmtId="14" fontId="3" fillId="2" borderId="7" xfId="0" applyNumberFormat="1" applyFont="1" applyFill="1" applyBorder="1"/>
    <xf numFmtId="14" fontId="6" fillId="2" borderId="1" xfId="0" applyNumberFormat="1" applyFont="1" applyFill="1" applyBorder="1"/>
    <xf numFmtId="14" fontId="2" fillId="0" borderId="0" xfId="0" applyNumberFormat="1" applyFont="1" applyAlignment="1">
      <alignment horizontal="center"/>
    </xf>
    <xf numFmtId="20" fontId="2" fillId="0" borderId="7" xfId="0" applyNumberFormat="1" applyFont="1" applyBorder="1" applyAlignment="1">
      <alignment horizontal="center"/>
    </xf>
    <xf numFmtId="18" fontId="2" fillId="5" borderId="7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6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A0DA-877C-4A6E-928B-E32D653B0F24}">
  <dimension ref="A1:L25"/>
  <sheetViews>
    <sheetView tabSelected="1"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12/29/2025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(29th)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(30th)</v>
      </c>
      <c r="B3" s="31"/>
      <c r="C3" s="31"/>
      <c r="D3" s="31"/>
      <c r="E3" s="32"/>
      <c r="F3" s="13">
        <v>8</v>
      </c>
      <c r="G3" s="12">
        <f>SUM(C3 - B3) * 24</f>
        <v>0</v>
      </c>
      <c r="H3" s="13">
        <f>SUM(E3 - D3) * 24</f>
        <v>0</v>
      </c>
      <c r="I3" s="4">
        <f t="shared" ref="I3:I6" si="0">G3 + H3 + F3</f>
        <v>8</v>
      </c>
      <c r="J3" s="23" t="str">
        <f>IF(AND(C3 &lt;&gt; "", D3 &lt;&gt; ""), (SUM(D3 - C3) * 1440), " - ")</f>
        <v xml:space="preserve"> - </v>
      </c>
      <c r="K3" s="24" t="str">
        <f>IF(AND((B3 &lt;&gt; ""), (C3 &lt;&gt; ""), (D3 &lt;&gt; ""), (E3 &lt;&gt; "")), IF((((8 - I3) * 60) + 1) &gt; 0, (((8 - I3) * 60) + 1), (((8 - I3) * 60) - 1)), "-")</f>
        <v>-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(31st)</v>
      </c>
      <c r="B4" s="31"/>
      <c r="C4" s="31"/>
      <c r="D4" s="31"/>
      <c r="E4" s="32"/>
      <c r="F4" s="20">
        <v>8</v>
      </c>
      <c r="G4" s="12">
        <f t="shared" ref="G4:G5" si="1">SUM(C4 - B4) * 24</f>
        <v>0</v>
      </c>
      <c r="H4" s="13">
        <f t="shared" ref="H4:H6" si="2">SUM(E4 - D4) * 24</f>
        <v>0</v>
      </c>
      <c r="I4" s="4">
        <f t="shared" si="0"/>
        <v>8</v>
      </c>
      <c r="J4" s="23" t="str">
        <f t="shared" ref="J4:J6" si="3">IF(AND(C4 &lt;&gt; "", D4 &lt;&gt; ""), (SUM(D4 - C4) * 1440), " - ")</f>
        <v xml:space="preserve"> - </v>
      </c>
      <c r="K4" s="24" t="str">
        <f t="shared" ref="K4:K5" si="4">IF(AND((B4 &lt;&gt; ""), (C4 &lt;&gt; ""), (D4 &lt;&gt; ""), (E4 &lt;&gt; "")), IF((((8 - I4) * 60) + 1) &gt; 0, (((8 - I4) * 60) + 1), (((8 - I4) * 60) - 1)), "-")</f>
        <v>-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(1st)</v>
      </c>
      <c r="B5" s="31"/>
      <c r="C5" s="31"/>
      <c r="D5" s="31"/>
      <c r="E5" s="32"/>
      <c r="F5" s="20">
        <v>8</v>
      </c>
      <c r="G5" s="12">
        <f t="shared" si="1"/>
        <v>0</v>
      </c>
      <c r="H5" s="13">
        <f t="shared" si="2"/>
        <v>0</v>
      </c>
      <c r="I5" s="4">
        <f t="shared" si="0"/>
        <v>8</v>
      </c>
      <c r="J5" s="23" t="str">
        <f t="shared" si="3"/>
        <v xml:space="preserve"> - </v>
      </c>
      <c r="K5" s="24" t="str">
        <f t="shared" si="4"/>
        <v>-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(2nd)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36"/>
      <c r="H7" s="2" t="s">
        <v>10</v>
      </c>
      <c r="I7" s="5">
        <f>SUM(I2:I6)</f>
        <v>40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0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60" priority="4" operator="greaterThan">
      <formula>7.99999999</formula>
    </cfRule>
    <cfRule type="cellIs" dxfId="359" priority="5" operator="lessThan">
      <formula>8</formula>
    </cfRule>
  </conditionalFormatting>
  <conditionalFormatting sqref="I7">
    <cfRule type="cellIs" dxfId="358" priority="6" operator="lessThan">
      <formula>40</formula>
    </cfRule>
    <cfRule type="cellIs" dxfId="357" priority="7" operator="greaterThan">
      <formula>39.999999</formula>
    </cfRule>
  </conditionalFormatting>
  <conditionalFormatting sqref="K2:K6">
    <cfRule type="cellIs" dxfId="356" priority="1" operator="equal">
      <formula>"-"</formula>
    </cfRule>
    <cfRule type="cellIs" dxfId="355" priority="2" operator="greaterThan">
      <formula>0.1</formula>
    </cfRule>
    <cfRule type="cellIs" dxfId="35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5137-0A44-47B4-B5A9-01A73B4A7753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12/22/2025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(22nd)</v>
      </c>
      <c r="B2" s="18">
        <v>0.28819444444444442</v>
      </c>
      <c r="C2" s="18">
        <v>0.50069444444444444</v>
      </c>
      <c r="D2" s="18">
        <v>0.52986111111111112</v>
      </c>
      <c r="E2" s="19">
        <v>0.66666666666666663</v>
      </c>
      <c r="F2" s="12"/>
      <c r="G2" s="12">
        <f>SUM(C2 - B2) * 24</f>
        <v>5.1000000000000005</v>
      </c>
      <c r="H2" s="13">
        <f>SUM(E2 - D2) * 24</f>
        <v>3.2833333333333323</v>
      </c>
      <c r="I2" s="4">
        <f>G2 + H2 + F2</f>
        <v>8.3833333333333329</v>
      </c>
      <c r="J2" s="23">
        <f>IF(AND(C2 &lt;&gt; "", D2 &lt;&gt; ""), (SUM(D2 - C2) * 1440), " - ")</f>
        <v>42.000000000000014</v>
      </c>
      <c r="K2" s="24">
        <f>IF(AND((B2 &lt;&gt; ""), (C2 &lt;&gt; ""), (D2 &lt;&gt; ""), (E2 &lt;&gt; "")), IF((((8 - I2) * 60) + 1) &gt; 0, (((8 - I2) * 60) + 1), (((8 - I2) * 60) - 1)), "-")</f>
        <v>-23.999999999999972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(23rd)</v>
      </c>
      <c r="B3" s="31"/>
      <c r="C3" s="31"/>
      <c r="D3" s="31"/>
      <c r="E3" s="32"/>
      <c r="F3" s="13">
        <v>8</v>
      </c>
      <c r="G3" s="12">
        <f>SUM(C3 - B3) * 24</f>
        <v>0</v>
      </c>
      <c r="H3" s="13">
        <f>SUM(E3 - D3) * 24</f>
        <v>0</v>
      </c>
      <c r="I3" s="4">
        <f t="shared" ref="I3:I6" si="0">G3 + H3 + F3</f>
        <v>8</v>
      </c>
      <c r="J3" s="23" t="str">
        <f>IF(AND(C3 &lt;&gt; "", D3 &lt;&gt; ""), (SUM(D3 - C3) * 1440), " - ")</f>
        <v xml:space="preserve"> - </v>
      </c>
      <c r="K3" s="24" t="str">
        <f>IF(AND((B3 &lt;&gt; ""), (C3 &lt;&gt; ""), (D3 &lt;&gt; ""), (E3 &lt;&gt; "")), IF((((8 - I3) * 60) + 1) &gt; 0, (((8 - I3) * 60) + 1), (((8 - I3) * 60) - 1)), "-")</f>
        <v>-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(24th)</v>
      </c>
      <c r="B4" s="31"/>
      <c r="C4" s="31"/>
      <c r="D4" s="31"/>
      <c r="E4" s="32"/>
      <c r="F4" s="20">
        <v>8</v>
      </c>
      <c r="G4" s="12">
        <f t="shared" ref="G4:G5" si="1">SUM(C4 - B4) * 24</f>
        <v>0</v>
      </c>
      <c r="H4" s="13">
        <f t="shared" ref="H4:H6" si="2">SUM(E4 - D4) * 24</f>
        <v>0</v>
      </c>
      <c r="I4" s="4">
        <f t="shared" si="0"/>
        <v>8</v>
      </c>
      <c r="J4" s="23" t="str">
        <f t="shared" ref="J4:J6" si="3">IF(AND(C4 &lt;&gt; "", D4 &lt;&gt; ""), (SUM(D4 - C4) * 1440), " - ")</f>
        <v xml:space="preserve"> - </v>
      </c>
      <c r="K4" s="24" t="str">
        <f t="shared" ref="K4:K5" si="4">IF(AND((B4 &lt;&gt; ""), (C4 &lt;&gt; ""), (D4 &lt;&gt; ""), (E4 &lt;&gt; "")), IF((((8 - I4) * 60) + 1) &gt; 0, (((8 - I4) * 60) + 1), (((8 - I4) * 60) - 1)), "-")</f>
        <v>-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(25th)</v>
      </c>
      <c r="B5" s="31"/>
      <c r="C5" s="31"/>
      <c r="D5" s="31"/>
      <c r="E5" s="32"/>
      <c r="F5" s="20">
        <v>8</v>
      </c>
      <c r="G5" s="12">
        <f t="shared" si="1"/>
        <v>0</v>
      </c>
      <c r="H5" s="13">
        <f t="shared" si="2"/>
        <v>0</v>
      </c>
      <c r="I5" s="4">
        <f t="shared" si="0"/>
        <v>8</v>
      </c>
      <c r="J5" s="23" t="str">
        <f t="shared" si="3"/>
        <v xml:space="preserve"> - </v>
      </c>
      <c r="K5" s="24" t="str">
        <f t="shared" si="4"/>
        <v>-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(26th)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36"/>
      <c r="H7" s="2" t="s">
        <v>10</v>
      </c>
      <c r="I7" s="5">
        <f>SUM(I2:I6)</f>
        <v>40.383333333333333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-0.38333333333333286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53" priority="4" operator="greaterThan">
      <formula>7.99999999</formula>
    </cfRule>
    <cfRule type="cellIs" dxfId="352" priority="5" operator="lessThan">
      <formula>8</formula>
    </cfRule>
  </conditionalFormatting>
  <conditionalFormatting sqref="I7">
    <cfRule type="cellIs" dxfId="351" priority="6" operator="lessThan">
      <formula>40</formula>
    </cfRule>
    <cfRule type="cellIs" dxfId="350" priority="7" operator="greaterThan">
      <formula>39.999999</formula>
    </cfRule>
  </conditionalFormatting>
  <conditionalFormatting sqref="K2:K6">
    <cfRule type="cellIs" dxfId="349" priority="1" operator="equal">
      <formula>"-"</formula>
    </cfRule>
    <cfRule type="cellIs" dxfId="348" priority="2" operator="greaterThan">
      <formula>0.1</formula>
    </cfRule>
    <cfRule type="cellIs" dxfId="34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0407-0D7E-4B48-B781-8C0D96923AA1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12/15/2025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(15th)</v>
      </c>
      <c r="B2" s="18">
        <v>0.28819444444444442</v>
      </c>
      <c r="C2" s="18">
        <v>0.49236111111111114</v>
      </c>
      <c r="D2" s="18">
        <v>0.51597222222222228</v>
      </c>
      <c r="E2" s="19">
        <v>0.625</v>
      </c>
      <c r="F2" s="12">
        <v>1</v>
      </c>
      <c r="G2" s="12">
        <f>SUM(C2 - B2) * 24</f>
        <v>4.9000000000000012</v>
      </c>
      <c r="H2" s="13">
        <f>SUM(E2 - D2) * 24</f>
        <v>2.6166666666666654</v>
      </c>
      <c r="I2" s="4">
        <f>G2 + H2 + F2</f>
        <v>8.5166666666666657</v>
      </c>
      <c r="J2" s="23">
        <f>IF(AND(C2 &lt;&gt; "", D2 &lt;&gt; ""), (SUM(D2 - C2) * 1440), " - ")</f>
        <v>34.000000000000043</v>
      </c>
      <c r="K2" s="24">
        <f>IF(AND((B2 &lt;&gt; ""), (C2 &lt;&gt; ""), (D2 &lt;&gt; ""), (E2 &lt;&gt; "")), IF((((8 - I2) * 60) + 1) &gt; 0, (((8 - I2) * 60) + 1), (((8 - I2) * 60) - 1)), "-")</f>
        <v>-31.999999999999943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(16th)</v>
      </c>
      <c r="B3" s="18">
        <v>0.28819444444444442</v>
      </c>
      <c r="C3" s="18">
        <v>0.49305555555555558</v>
      </c>
      <c r="D3" s="18">
        <v>0.5229166666666667</v>
      </c>
      <c r="E3" s="19">
        <v>0.66666666666666663</v>
      </c>
      <c r="F3" s="13"/>
      <c r="G3" s="12">
        <f>SUM(C3 - B3) * 24</f>
        <v>4.9166666666666679</v>
      </c>
      <c r="H3" s="13">
        <f>SUM(E3 - D3) * 24</f>
        <v>3.4499999999999984</v>
      </c>
      <c r="I3" s="4">
        <f t="shared" ref="I3:I6" si="0">G3 + H3 + F3</f>
        <v>8.3666666666666671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(17th)</v>
      </c>
      <c r="B4" s="18">
        <v>0.28819444444444442</v>
      </c>
      <c r="C4" s="18">
        <v>0.5541666666666667</v>
      </c>
      <c r="D4" s="18">
        <v>0.58402777777777781</v>
      </c>
      <c r="E4" s="19">
        <v>0.66666666666666663</v>
      </c>
      <c r="F4" s="20"/>
      <c r="G4" s="12">
        <f t="shared" ref="G4:G5" si="1">SUM(C4 - B4) * 24</f>
        <v>6.3833333333333346</v>
      </c>
      <c r="H4" s="13">
        <f t="shared" ref="H4:H6" si="2">SUM(E4 - D4) * 24</f>
        <v>1.9833333333333316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(18th)</v>
      </c>
      <c r="B5" s="18">
        <v>0.28819444444444442</v>
      </c>
      <c r="C5" s="18">
        <v>0.50486111111111109</v>
      </c>
      <c r="D5" s="18">
        <v>0.53472222222222221</v>
      </c>
      <c r="E5" s="19">
        <v>0.66666666666666663</v>
      </c>
      <c r="F5" s="20"/>
      <c r="G5" s="12">
        <f t="shared" si="1"/>
        <v>5.2</v>
      </c>
      <c r="H5" s="13">
        <f t="shared" si="2"/>
        <v>3.1666666666666661</v>
      </c>
      <c r="I5" s="4">
        <f t="shared" si="0"/>
        <v>8.3666666666666671</v>
      </c>
      <c r="J5" s="23">
        <f t="shared" si="3"/>
        <v>43.000000000000007</v>
      </c>
      <c r="K5" s="24">
        <f t="shared" si="4"/>
        <v>-23.000000000000028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(19th)</v>
      </c>
      <c r="B6" s="18">
        <v>0.28819444444444442</v>
      </c>
      <c r="C6" s="18">
        <v>0.47430555555555554</v>
      </c>
      <c r="D6" s="18">
        <v>0.50416666666666665</v>
      </c>
      <c r="E6" s="19">
        <v>0.66736111111111107</v>
      </c>
      <c r="F6" s="13"/>
      <c r="G6" s="12">
        <f>SUM(C6 - B6) * 24</f>
        <v>4.4666666666666668</v>
      </c>
      <c r="H6" s="13">
        <f t="shared" si="2"/>
        <v>3.9166666666666661</v>
      </c>
      <c r="I6" s="4">
        <f t="shared" si="0"/>
        <v>8.3833333333333329</v>
      </c>
      <c r="J6" s="23">
        <f t="shared" si="3"/>
        <v>43.000000000000007</v>
      </c>
      <c r="K6" s="24">
        <f>IF(AND((B6 &lt;&gt; ""), (C6 &lt;&gt; ""), (D6 &lt;&gt; ""), (E6 &lt;&gt; "")), IF((((8 - I6) * 60) + 1) &gt; 0, (((8 - I6) * 60) + 1), (((8 - I6) * 60) - 1)), "-")</f>
        <v>-23.999999999999972</v>
      </c>
    </row>
    <row r="7" spans="1:12" ht="36.75" thickBot="1" x14ac:dyDescent="0.6">
      <c r="B7" s="36"/>
      <c r="H7" s="2" t="s">
        <v>10</v>
      </c>
      <c r="I7" s="5">
        <f>SUM(I2:I6)</f>
        <v>42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-2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46" priority="4" operator="greaterThan">
      <formula>7.99999999</formula>
    </cfRule>
    <cfRule type="cellIs" dxfId="345" priority="5" operator="lessThan">
      <formula>8</formula>
    </cfRule>
  </conditionalFormatting>
  <conditionalFormatting sqref="I7">
    <cfRule type="cellIs" dxfId="344" priority="6" operator="lessThan">
      <formula>40</formula>
    </cfRule>
    <cfRule type="cellIs" dxfId="343" priority="7" operator="greaterThan">
      <formula>39.999999</formula>
    </cfRule>
  </conditionalFormatting>
  <conditionalFormatting sqref="K2:K6">
    <cfRule type="cellIs" dxfId="342" priority="1" operator="equal">
      <formula>"-"</formula>
    </cfRule>
    <cfRule type="cellIs" dxfId="341" priority="2" operator="greaterThan">
      <formula>0.1</formula>
    </cfRule>
    <cfRule type="cellIs" dxfId="34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E8C7-8A7A-45DB-9F01-72362DB2EB9C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12/08/2025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(8th)</v>
      </c>
      <c r="B2" s="18">
        <v>0.28819444444444442</v>
      </c>
      <c r="C2" s="18">
        <v>0.49305555555555558</v>
      </c>
      <c r="D2" s="18">
        <v>0.51666666666666672</v>
      </c>
      <c r="E2" s="19">
        <v>0.60416666666666663</v>
      </c>
      <c r="F2" s="12">
        <v>1.5</v>
      </c>
      <c r="G2" s="12">
        <f>SUM(C2 - B2) * 24</f>
        <v>4.9166666666666679</v>
      </c>
      <c r="H2" s="13">
        <f>SUM(E2 - D2) * 24</f>
        <v>2.0999999999999979</v>
      </c>
      <c r="I2" s="4">
        <f>G2 + H2 + F2</f>
        <v>8.5166666666666657</v>
      </c>
      <c r="J2" s="23">
        <f>IF(AND(C2 &lt;&gt; "", D2 &lt;&gt; ""), (SUM(D2 - C2) * 1440), " - ")</f>
        <v>34.000000000000043</v>
      </c>
      <c r="K2" s="24">
        <f>IF(AND((B2 &lt;&gt; ""), (C2 &lt;&gt; ""), (D2 &lt;&gt; ""), (E2 &lt;&gt; "")), IF((((8 - I2) * 60) + 1) &gt; 0, (((8 - I2) * 60) + 1), (((8 - I2) * 60) - 1)), "-")</f>
        <v>-31.999999999999943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(9th)</v>
      </c>
      <c r="B3" s="18">
        <v>0.28819444444444442</v>
      </c>
      <c r="C3" s="18">
        <v>0.48055555555555557</v>
      </c>
      <c r="D3" s="18">
        <v>0.51041666666666663</v>
      </c>
      <c r="E3" s="19">
        <v>0.66666666666666663</v>
      </c>
      <c r="F3" s="13"/>
      <c r="G3" s="12">
        <f>SUM(C3 - B3) * 24</f>
        <v>4.6166666666666671</v>
      </c>
      <c r="H3" s="13">
        <f>SUM(E3 - D3) * 24</f>
        <v>3.75</v>
      </c>
      <c r="I3" s="4">
        <f t="shared" ref="I3:I6" si="0">G3 + H3 + F3</f>
        <v>8.3666666666666671</v>
      </c>
      <c r="J3" s="23">
        <f>IF(AND(C3 &lt;&gt; "", D3 &lt;&gt; ""), (SUM(D3 - C3) * 1440), " - ")</f>
        <v>42.999999999999929</v>
      </c>
      <c r="K3" s="2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(10th)</v>
      </c>
      <c r="B4" s="18">
        <v>0.28888888888888886</v>
      </c>
      <c r="C4" s="18">
        <v>0.51527777777777772</v>
      </c>
      <c r="D4" s="18">
        <v>0.54652777777777772</v>
      </c>
      <c r="E4" s="19">
        <v>0.66666666666666663</v>
      </c>
      <c r="F4" s="20"/>
      <c r="G4" s="12">
        <f t="shared" ref="G4:G5" si="1">SUM(C4 - B4) * 24</f>
        <v>5.4333333333333327</v>
      </c>
      <c r="H4" s="13">
        <f t="shared" ref="H4:H6" si="2">SUM(E4 - D4) * 24</f>
        <v>2.8833333333333337</v>
      </c>
      <c r="I4" s="4">
        <f t="shared" si="0"/>
        <v>8.3166666666666664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-19.999999999999986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(11th)</v>
      </c>
      <c r="B5" s="18">
        <v>0.28819444444444442</v>
      </c>
      <c r="C5" s="18">
        <v>0.50277777777777777</v>
      </c>
      <c r="D5" s="18">
        <v>0.53333333333333333</v>
      </c>
      <c r="E5" s="19">
        <v>0.66666666666666663</v>
      </c>
      <c r="F5" s="20"/>
      <c r="G5" s="12">
        <f t="shared" si="1"/>
        <v>5.15</v>
      </c>
      <c r="H5" s="13">
        <f t="shared" si="2"/>
        <v>3.1999999999999993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(12th)</v>
      </c>
      <c r="B6" s="18">
        <v>0.28819444444444442</v>
      </c>
      <c r="C6" s="18">
        <v>0.50208333333333333</v>
      </c>
      <c r="D6" s="18">
        <v>0.53125</v>
      </c>
      <c r="E6" s="19">
        <v>0.66666666666666663</v>
      </c>
      <c r="F6" s="13"/>
      <c r="G6" s="12">
        <f>SUM(C6 - B6) * 24</f>
        <v>5.1333333333333337</v>
      </c>
      <c r="H6" s="13">
        <f t="shared" si="2"/>
        <v>3.2499999999999991</v>
      </c>
      <c r="I6" s="4">
        <f t="shared" si="0"/>
        <v>8.3833333333333329</v>
      </c>
      <c r="J6" s="23">
        <f t="shared" si="3"/>
        <v>42.000000000000014</v>
      </c>
      <c r="K6" s="24">
        <f>IF(AND((B6 &lt;&gt; ""), (C6 &lt;&gt; ""), (D6 &lt;&gt; ""), (E6 &lt;&gt; "")), IF((((8 - I6) * 60) + 1) &gt; 0, (((8 - I6) * 60) + 1), (((8 - I6) * 60) - 1)), "-")</f>
        <v>-23.999999999999972</v>
      </c>
    </row>
    <row r="7" spans="1:12" ht="36.75" thickBot="1" x14ac:dyDescent="0.6">
      <c r="B7" s="36"/>
      <c r="H7" s="2" t="s">
        <v>10</v>
      </c>
      <c r="I7" s="5">
        <f>SUM(I2:I6)</f>
        <v>41.93333333333333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-1.93333333333333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39" priority="4" operator="greaterThan">
      <formula>7.99999999</formula>
    </cfRule>
    <cfRule type="cellIs" dxfId="338" priority="5" operator="lessThan">
      <formula>8</formula>
    </cfRule>
  </conditionalFormatting>
  <conditionalFormatting sqref="I7">
    <cfRule type="cellIs" dxfId="337" priority="6" operator="lessThan">
      <formula>40</formula>
    </cfRule>
    <cfRule type="cellIs" dxfId="336" priority="7" operator="greaterThan">
      <formula>39.999999</formula>
    </cfRule>
  </conditionalFormatting>
  <conditionalFormatting sqref="K2:K6">
    <cfRule type="cellIs" dxfId="335" priority="1" operator="equal">
      <formula>"-"</formula>
    </cfRule>
    <cfRule type="cellIs" dxfId="334" priority="2" operator="greaterThan">
      <formula>0.1</formula>
    </cfRule>
    <cfRule type="cellIs" dxfId="333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4230-68C3-477B-AF05-DFCE469856F2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12/01/2025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(1st)</v>
      </c>
      <c r="B2" s="18">
        <v>0.28819444444444442</v>
      </c>
      <c r="C2" s="18">
        <v>0.51180555555555551</v>
      </c>
      <c r="D2" s="18">
        <v>0.54166666666666663</v>
      </c>
      <c r="E2" s="19">
        <v>0.66666666666666663</v>
      </c>
      <c r="F2" s="12"/>
      <c r="G2" s="12">
        <f>SUM(C2 - B2) * 24</f>
        <v>5.3666666666666663</v>
      </c>
      <c r="H2" s="13">
        <f>SUM(E2 - D2) * 24</f>
        <v>3</v>
      </c>
      <c r="I2" s="4">
        <f>G2 + H2 + F2</f>
        <v>8.3666666666666671</v>
      </c>
      <c r="J2" s="23">
        <f>IF(AND(C2 &lt;&gt; "", D2 &lt;&gt; ""), (SUM(D2 - C2) * 1440), " - ")</f>
        <v>43.000000000000007</v>
      </c>
      <c r="K2" s="24">
        <f>IF(AND((B2 &lt;&gt; ""), (C2 &lt;&gt; ""), (D2 &lt;&gt; ""), (E2 &lt;&gt; "")), IF((((8 - I2) * 60) + 1) &gt; 0, (((8 - I2) * 60) + 1), (((8 - I2) * 60) - 1)), "-")</f>
        <v>-23.000000000000028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(2nd)</v>
      </c>
      <c r="B3" s="18">
        <v>0.28819444444444442</v>
      </c>
      <c r="C3" s="18">
        <v>0.47013888888888888</v>
      </c>
      <c r="D3" s="18">
        <v>0.50069444444444444</v>
      </c>
      <c r="E3" s="19">
        <v>0.66666666666666663</v>
      </c>
      <c r="F3" s="13"/>
      <c r="G3" s="12">
        <f>SUM(C3 - B3) * 24</f>
        <v>4.3666666666666671</v>
      </c>
      <c r="H3" s="13">
        <f>SUM(E3 - D3) * 24</f>
        <v>3.9833333333333325</v>
      </c>
      <c r="I3" s="4">
        <f t="shared" ref="I3:I6" si="0">G3 + H3 + F3</f>
        <v>8.35</v>
      </c>
      <c r="J3" s="23">
        <f>IF(AND(C3 &lt;&gt; "", D3 &lt;&gt; ""), (SUM(D3 - C3) * 1440), " - ")</f>
        <v>44</v>
      </c>
      <c r="K3" s="24">
        <f>IF(AND((B3 &lt;&gt; ""), (C3 &lt;&gt; ""), (D3 &lt;&gt; ""), (E3 &lt;&gt; "")), IF((((8 - I3) * 60) + 1) &gt; 0, (((8 - I3) * 60) + 1), (((8 - I3) * 60) - 1)), "-")</f>
        <v>-21.999999999999979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(3rd)</v>
      </c>
      <c r="B4" s="18">
        <v>0.28819444444444442</v>
      </c>
      <c r="C4" s="18">
        <v>0.5131944444444444</v>
      </c>
      <c r="D4" s="18">
        <v>0.54236111111111107</v>
      </c>
      <c r="E4" s="19">
        <v>0.66666666666666663</v>
      </c>
      <c r="F4" s="20"/>
      <c r="G4" s="12">
        <f t="shared" ref="G4:G5" si="1">SUM(C4 - B4) * 24</f>
        <v>5.3999999999999995</v>
      </c>
      <c r="H4" s="13">
        <f t="shared" ref="H4:H6" si="2">SUM(E4 - D4) * 24</f>
        <v>2.9833333333333334</v>
      </c>
      <c r="I4" s="4">
        <f t="shared" si="0"/>
        <v>8.3833333333333329</v>
      </c>
      <c r="J4" s="23">
        <f t="shared" ref="J4:J6" si="3">IF(AND(C4 &lt;&gt; "", D4 &lt;&gt; ""), (SUM(D4 - C4) * 1440), " - ")</f>
        <v>42.000000000000014</v>
      </c>
      <c r="K4" s="24">
        <f t="shared" ref="K4:K5" si="4">IF(AND((B4 &lt;&gt; ""), (C4 &lt;&gt; ""), (D4 &lt;&gt; ""), (E4 &lt;&gt; "")), IF((((8 - I4) * 60) + 1) &gt; 0, (((8 - I4) * 60) + 1), (((8 - I4) * 60) - 1)), "-")</f>
        <v>-23.999999999999972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(4th)</v>
      </c>
      <c r="B5" s="18">
        <v>0.28819444444444442</v>
      </c>
      <c r="C5" s="18">
        <v>0.4909722222222222</v>
      </c>
      <c r="D5" s="18">
        <v>0.52152777777777781</v>
      </c>
      <c r="E5" s="19">
        <v>0.66666666666666663</v>
      </c>
      <c r="F5" s="20"/>
      <c r="G5" s="12">
        <f t="shared" si="1"/>
        <v>4.8666666666666671</v>
      </c>
      <c r="H5" s="13">
        <f t="shared" si="2"/>
        <v>3.4833333333333316</v>
      </c>
      <c r="I5" s="4">
        <f t="shared" si="0"/>
        <v>8.3499999999999979</v>
      </c>
      <c r="J5" s="23">
        <f t="shared" si="3"/>
        <v>44.000000000000085</v>
      </c>
      <c r="K5" s="24">
        <f t="shared" si="4"/>
        <v>-21.999999999999872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(5th)</v>
      </c>
      <c r="B6" s="18">
        <v>0.28819444444444442</v>
      </c>
      <c r="C6" s="18">
        <v>0.4909722222222222</v>
      </c>
      <c r="D6" s="18">
        <v>0.52152777777777781</v>
      </c>
      <c r="E6" s="19">
        <v>0.66666666666666663</v>
      </c>
      <c r="F6" s="13"/>
      <c r="G6" s="12">
        <f>SUM(C6 - B6) * 24</f>
        <v>4.8666666666666671</v>
      </c>
      <c r="H6" s="13">
        <f t="shared" si="2"/>
        <v>3.4833333333333316</v>
      </c>
      <c r="I6" s="4">
        <f t="shared" si="0"/>
        <v>8.3499999999999979</v>
      </c>
      <c r="J6" s="23">
        <f t="shared" si="3"/>
        <v>44.000000000000085</v>
      </c>
      <c r="K6" s="24">
        <f>IF(AND((B6 &lt;&gt; ""), (C6 &lt;&gt; ""), (D6 &lt;&gt; ""), (E6 &lt;&gt; "")), IF((((8 - I6) * 60) + 1) &gt; 0, (((8 - I6) * 60) + 1), (((8 - I6) * 60) - 1)), "-")</f>
        <v>-21.999999999999872</v>
      </c>
    </row>
    <row r="7" spans="1:12" ht="36.75" thickBot="1" x14ac:dyDescent="0.6">
      <c r="B7" s="36"/>
      <c r="H7" s="2" t="s">
        <v>10</v>
      </c>
      <c r="I7" s="5">
        <f>SUM(I2:I6)</f>
        <v>41.8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-1.7999999999999972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32" priority="4" operator="greaterThan">
      <formula>7.99999999</formula>
    </cfRule>
    <cfRule type="cellIs" dxfId="331" priority="5" operator="lessThan">
      <formula>8</formula>
    </cfRule>
  </conditionalFormatting>
  <conditionalFormatting sqref="I7">
    <cfRule type="cellIs" dxfId="330" priority="6" operator="lessThan">
      <formula>40</formula>
    </cfRule>
    <cfRule type="cellIs" dxfId="329" priority="7" operator="greaterThan">
      <formula>39.999999</formula>
    </cfRule>
  </conditionalFormatting>
  <conditionalFormatting sqref="K2:K6">
    <cfRule type="cellIs" dxfId="328" priority="1" operator="equal">
      <formula>"-"</formula>
    </cfRule>
    <cfRule type="cellIs" dxfId="327" priority="2" operator="greaterThan">
      <formula>0.1</formula>
    </cfRule>
    <cfRule type="cellIs" dxfId="326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D7D6-8EBE-4E32-BC4E-EE6AA9327ACA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11/24/2025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(24th)</v>
      </c>
      <c r="B2" s="18">
        <v>0.28749999999999998</v>
      </c>
      <c r="C2" s="18">
        <v>0.50277777777777777</v>
      </c>
      <c r="D2" s="18">
        <v>0.53333333333333333</v>
      </c>
      <c r="E2" s="19">
        <v>0.66666666666666663</v>
      </c>
      <c r="F2" s="12"/>
      <c r="G2" s="12">
        <f>SUM(C2 - B2) * 24</f>
        <v>5.166666666666667</v>
      </c>
      <c r="H2" s="13">
        <f>SUM(E2 - D2) * 24</f>
        <v>3.1999999999999993</v>
      </c>
      <c r="I2" s="4">
        <f>G2 + H2 + F2</f>
        <v>8.3666666666666671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-23.000000000000028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(25th)</v>
      </c>
      <c r="B3" s="18">
        <v>0.28819444444444442</v>
      </c>
      <c r="C3" s="18">
        <v>0.51527777777777772</v>
      </c>
      <c r="D3" s="18">
        <v>0.54583333333333328</v>
      </c>
      <c r="E3" s="19">
        <v>0.66805555555555551</v>
      </c>
      <c r="F3" s="13"/>
      <c r="G3" s="12">
        <f>SUM(C3 - B3) * 24</f>
        <v>5.4499999999999993</v>
      </c>
      <c r="H3" s="13">
        <f>SUM(E3 - D3) * 24</f>
        <v>2.9333333333333336</v>
      </c>
      <c r="I3" s="4">
        <f t="shared" ref="I3:I6" si="0">G3 + H3 + F3</f>
        <v>8.3833333333333329</v>
      </c>
      <c r="J3" s="23">
        <f>IF(AND(C3 &lt;&gt; "", D3 &lt;&gt; ""), (SUM(D3 - C3) * 1440), " - ")</f>
        <v>44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(26th)</v>
      </c>
      <c r="B4" s="18">
        <v>0.28819444444444442</v>
      </c>
      <c r="C4" s="18">
        <v>0.50972222222222219</v>
      </c>
      <c r="D4" s="18">
        <v>0.54027777777777775</v>
      </c>
      <c r="E4" s="19">
        <v>0.67083333333333328</v>
      </c>
      <c r="F4" s="20"/>
      <c r="G4" s="12">
        <f t="shared" ref="G4:G5" si="1">SUM(C4 - B4) * 24</f>
        <v>5.3166666666666664</v>
      </c>
      <c r="H4" s="13">
        <f t="shared" ref="H4:H6" si="2">SUM(E4 - D4) * 24</f>
        <v>3.1333333333333329</v>
      </c>
      <c r="I4" s="4">
        <f t="shared" si="0"/>
        <v>8.4499999999999993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-27.999999999999957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(27th)</v>
      </c>
      <c r="B5" s="31"/>
      <c r="C5" s="31"/>
      <c r="D5" s="31"/>
      <c r="E5" s="32"/>
      <c r="F5" s="20">
        <v>8</v>
      </c>
      <c r="G5" s="12">
        <f t="shared" si="1"/>
        <v>0</v>
      </c>
      <c r="H5" s="13">
        <f t="shared" si="2"/>
        <v>0</v>
      </c>
      <c r="I5" s="4">
        <f t="shared" si="0"/>
        <v>8</v>
      </c>
      <c r="J5" s="23" t="str">
        <f t="shared" si="3"/>
        <v xml:space="preserve"> - </v>
      </c>
      <c r="K5" s="24" t="str">
        <f t="shared" si="4"/>
        <v>-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(28th)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36"/>
      <c r="H7" s="2" t="s">
        <v>10</v>
      </c>
      <c r="I7" s="5">
        <f>SUM(I2:I6)</f>
        <v>41.2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-1.2000000000000028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25" priority="4" operator="greaterThan">
      <formula>7.99999999</formula>
    </cfRule>
    <cfRule type="cellIs" dxfId="324" priority="5" operator="lessThan">
      <formula>8</formula>
    </cfRule>
  </conditionalFormatting>
  <conditionalFormatting sqref="I7">
    <cfRule type="cellIs" dxfId="323" priority="6" operator="lessThan">
      <formula>40</formula>
    </cfRule>
    <cfRule type="cellIs" dxfId="322" priority="7" operator="greaterThan">
      <formula>39.999999</formula>
    </cfRule>
  </conditionalFormatting>
  <conditionalFormatting sqref="K2:K6">
    <cfRule type="cellIs" dxfId="321" priority="1" operator="equal">
      <formula>"-"</formula>
    </cfRule>
    <cfRule type="cellIs" dxfId="320" priority="2" operator="greaterThan">
      <formula>0.1</formula>
    </cfRule>
    <cfRule type="cellIs" dxfId="319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CCDE-8C17-425B-BD60-1DB6D6C2BC6F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11/17/2025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(17th)</v>
      </c>
      <c r="B2" s="18">
        <v>0.28819444444444442</v>
      </c>
      <c r="C2" s="18">
        <v>0.51180555555555551</v>
      </c>
      <c r="D2" s="18">
        <v>0.54166666666666663</v>
      </c>
      <c r="E2" s="19">
        <v>0.66666666666666663</v>
      </c>
      <c r="F2" s="12"/>
      <c r="G2" s="12">
        <f>SUM(C2 - B2) * 24</f>
        <v>5.3666666666666663</v>
      </c>
      <c r="H2" s="13">
        <f>SUM(E2 - D2) * 24</f>
        <v>3</v>
      </c>
      <c r="I2" s="4">
        <f>G2 + H2 + F2</f>
        <v>8.3666666666666671</v>
      </c>
      <c r="J2" s="23">
        <f>IF(AND(C2 &lt;&gt; "", D2 &lt;&gt; ""), (SUM(D2 - C2) * 1440), " - ")</f>
        <v>43.000000000000007</v>
      </c>
      <c r="K2" s="24">
        <f>IF(AND((B2 &lt;&gt; ""), (C2 &lt;&gt; ""), (D2 &lt;&gt; ""), (E2 &lt;&gt; "")), IF((((8 - I2) * 60) + 1) &gt; 0, (((8 - I2) * 60) + 1), (((8 - I2) * 60) - 1)), "-")</f>
        <v>-23.000000000000028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(18th)</v>
      </c>
      <c r="B3" s="18">
        <v>0.28819444444444442</v>
      </c>
      <c r="C3" s="18">
        <v>0.50555555555555554</v>
      </c>
      <c r="D3" s="18">
        <v>0.53611111111111109</v>
      </c>
      <c r="E3" s="19">
        <v>0.66666666666666663</v>
      </c>
      <c r="F3" s="13"/>
      <c r="G3" s="12">
        <f>SUM(C3 - B3) * 24</f>
        <v>5.2166666666666668</v>
      </c>
      <c r="H3" s="13">
        <f>SUM(E3 - D3) * 24</f>
        <v>3.1333333333333329</v>
      </c>
      <c r="I3" s="4">
        <f t="shared" ref="I3:I6" si="0">G3 + H3 + F3</f>
        <v>8.35</v>
      </c>
      <c r="J3" s="23">
        <f>IF(AND(C3 &lt;&gt; "", D3 &lt;&gt; ""), (SUM(D3 - C3) * 1440), " - ")</f>
        <v>44</v>
      </c>
      <c r="K3" s="24">
        <f>IF(AND((B3 &lt;&gt; ""), (C3 &lt;&gt; ""), (D3 &lt;&gt; ""), (E3 &lt;&gt; "")), IF((((8 - I3) * 60) + 1) &gt; 0, (((8 - I3) * 60) + 1), (((8 - I3) * 60) - 1)), "-")</f>
        <v>-21.999999999999979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(19th)</v>
      </c>
      <c r="B4" s="18">
        <v>0.28819444444444442</v>
      </c>
      <c r="C4" s="18">
        <v>0.53194444444444444</v>
      </c>
      <c r="D4" s="18">
        <v>0.56111111111111112</v>
      </c>
      <c r="E4" s="19">
        <v>0.66666666666666663</v>
      </c>
      <c r="F4" s="20"/>
      <c r="G4" s="12">
        <f t="shared" ref="G4:G5" si="1">SUM(C4 - B4) * 24</f>
        <v>5.8500000000000005</v>
      </c>
      <c r="H4" s="13">
        <f t="shared" ref="H4:H6" si="2">SUM(E4 - D4) * 24</f>
        <v>2.5333333333333323</v>
      </c>
      <c r="I4" s="4">
        <f t="shared" si="0"/>
        <v>8.3833333333333329</v>
      </c>
      <c r="J4" s="23">
        <f t="shared" ref="J4:J6" si="3">IF(AND(C4 &lt;&gt; "", D4 &lt;&gt; ""), (SUM(D4 - C4) * 1440), " - ")</f>
        <v>42.000000000000014</v>
      </c>
      <c r="K4" s="24">
        <f t="shared" ref="K4:K5" si="4">IF(AND((B4 &lt;&gt; ""), (C4 &lt;&gt; ""), (D4 &lt;&gt; ""), (E4 &lt;&gt; "")), IF((((8 - I4) * 60) + 1) &gt; 0, (((8 - I4) * 60) + 1), (((8 - I4) * 60) - 1)), "-")</f>
        <v>-23.999999999999972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(20th)</v>
      </c>
      <c r="B5" s="18">
        <v>0.28819444444444442</v>
      </c>
      <c r="C5" s="18">
        <v>0.54791666666666672</v>
      </c>
      <c r="D5" s="18">
        <v>0.57916666666666672</v>
      </c>
      <c r="E5" s="19">
        <v>0.66666666666666663</v>
      </c>
      <c r="F5" s="20"/>
      <c r="G5" s="12">
        <f t="shared" si="1"/>
        <v>6.2333333333333352</v>
      </c>
      <c r="H5" s="13">
        <f t="shared" si="2"/>
        <v>2.0999999999999979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(21st)</v>
      </c>
      <c r="B6" s="18">
        <v>0.28819444444444442</v>
      </c>
      <c r="C6" s="18">
        <v>0.48333333333333334</v>
      </c>
      <c r="D6" s="18">
        <v>0.51388888888888884</v>
      </c>
      <c r="E6" s="19">
        <v>0.66666666666666663</v>
      </c>
      <c r="F6" s="13"/>
      <c r="G6" s="12">
        <f>SUM(C6 - B6) * 24</f>
        <v>4.6833333333333336</v>
      </c>
      <c r="H6" s="13">
        <f t="shared" si="2"/>
        <v>3.666666666666667</v>
      </c>
      <c r="I6" s="4">
        <f t="shared" si="0"/>
        <v>8.3500000000000014</v>
      </c>
      <c r="J6" s="23">
        <f t="shared" si="3"/>
        <v>43.999999999999922</v>
      </c>
      <c r="K6" s="24">
        <f>IF(AND((B6 &lt;&gt; ""), (C6 &lt;&gt; ""), (D6 &lt;&gt; ""), (E6 &lt;&gt; "")), IF((((8 - I6) * 60) + 1) &gt; 0, (((8 - I6) * 60) + 1), (((8 - I6) * 60) - 1)), "-")</f>
        <v>-22.000000000000085</v>
      </c>
    </row>
    <row r="7" spans="1:12" ht="36.75" thickBot="1" x14ac:dyDescent="0.6">
      <c r="B7" s="36"/>
      <c r="H7" s="2" t="s">
        <v>10</v>
      </c>
      <c r="I7" s="5">
        <f>SUM(I2:I6)</f>
        <v>41.783333333333339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-1.7833333333333385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18" priority="4" operator="greaterThan">
      <formula>7.99999999</formula>
    </cfRule>
    <cfRule type="cellIs" dxfId="317" priority="5" operator="lessThan">
      <formula>8</formula>
    </cfRule>
  </conditionalFormatting>
  <conditionalFormatting sqref="I7">
    <cfRule type="cellIs" dxfId="316" priority="6" operator="lessThan">
      <formula>40</formula>
    </cfRule>
    <cfRule type="cellIs" dxfId="315" priority="7" operator="greaterThan">
      <formula>39.999999</formula>
    </cfRule>
  </conditionalFormatting>
  <conditionalFormatting sqref="K2:K6">
    <cfRule type="cellIs" dxfId="314" priority="1" operator="equal">
      <formula>"-"</formula>
    </cfRule>
    <cfRule type="cellIs" dxfId="313" priority="2" operator="greaterThan">
      <formula>0.1</formula>
    </cfRule>
    <cfRule type="cellIs" dxfId="312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FEEB-EA09-4B88-9570-11EA8D341DC2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11/10/2025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(10th)</v>
      </c>
      <c r="B2" s="18">
        <v>0.28819444444444442</v>
      </c>
      <c r="C2" s="18">
        <v>0.56041666666666667</v>
      </c>
      <c r="D2" s="18">
        <v>0.59097222222222223</v>
      </c>
      <c r="E2" s="19">
        <v>0.66666666666666663</v>
      </c>
      <c r="F2" s="12"/>
      <c r="G2" s="12">
        <f>SUM(C2 - B2) * 24</f>
        <v>6.5333333333333341</v>
      </c>
      <c r="H2" s="13">
        <f>SUM(E2 - D2) * 24</f>
        <v>1.8166666666666655</v>
      </c>
      <c r="I2" s="4">
        <f>G2 + H2 + F2</f>
        <v>8.35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-21.999999999999979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(11th)</v>
      </c>
      <c r="B3" s="18">
        <v>0.28819444444444442</v>
      </c>
      <c r="C3" s="18">
        <v>0.54583333333333328</v>
      </c>
      <c r="D3" s="18">
        <v>0.5756944444444444</v>
      </c>
      <c r="E3" s="19">
        <v>0.66736111111111107</v>
      </c>
      <c r="F3" s="13"/>
      <c r="G3" s="12">
        <f>SUM(C3 - B3) * 24</f>
        <v>6.1833333333333327</v>
      </c>
      <c r="H3" s="13">
        <f>SUM(E3 - D3) * 24</f>
        <v>2.2000000000000002</v>
      </c>
      <c r="I3" s="4">
        <f t="shared" ref="I3:I6" si="0">G3 + H3 + F3</f>
        <v>8.3833333333333329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(12th)</v>
      </c>
      <c r="B4" s="18">
        <v>0.28819444444444442</v>
      </c>
      <c r="C4" s="18">
        <v>0.52361111111111114</v>
      </c>
      <c r="D4" s="18">
        <v>0.5541666666666667</v>
      </c>
      <c r="E4" s="19">
        <v>0.66666666666666663</v>
      </c>
      <c r="F4" s="20"/>
      <c r="G4" s="12">
        <f t="shared" ref="G4:G5" si="1">SUM(C4 - B4) * 24</f>
        <v>5.6500000000000012</v>
      </c>
      <c r="H4" s="13">
        <f t="shared" ref="H4:H6" si="2">SUM(E4 - D4) * 24</f>
        <v>2.6999999999999984</v>
      </c>
      <c r="I4" s="4">
        <f t="shared" si="0"/>
        <v>8.35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-21.999999999999979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(13th)</v>
      </c>
      <c r="B5" s="18">
        <v>0.28819444444444442</v>
      </c>
      <c r="C5" s="18">
        <v>0.49027777777777776</v>
      </c>
      <c r="D5" s="18">
        <v>0.52013888888888893</v>
      </c>
      <c r="E5" s="19">
        <v>0.66666666666666663</v>
      </c>
      <c r="F5" s="20"/>
      <c r="G5" s="12">
        <f t="shared" si="1"/>
        <v>4.8499999999999996</v>
      </c>
      <c r="H5" s="13">
        <f t="shared" si="2"/>
        <v>3.5166666666666648</v>
      </c>
      <c r="I5" s="4">
        <f t="shared" si="0"/>
        <v>8.3666666666666636</v>
      </c>
      <c r="J5" s="23">
        <f t="shared" si="3"/>
        <v>43.000000000000085</v>
      </c>
      <c r="K5" s="24">
        <f t="shared" si="4"/>
        <v>-22.999999999999815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(14th)</v>
      </c>
      <c r="B6" s="18">
        <v>0.28819444444444442</v>
      </c>
      <c r="C6" s="18">
        <v>0.49652777777777779</v>
      </c>
      <c r="D6" s="18">
        <v>0.52638888888888891</v>
      </c>
      <c r="E6" s="19">
        <v>0.66666666666666663</v>
      </c>
      <c r="F6" s="13"/>
      <c r="G6" s="12">
        <f>SUM(C6 - B6) * 24</f>
        <v>5.0000000000000009</v>
      </c>
      <c r="H6" s="13">
        <f t="shared" si="2"/>
        <v>3.3666666666666654</v>
      </c>
      <c r="I6" s="4">
        <f t="shared" si="0"/>
        <v>8.3666666666666671</v>
      </c>
      <c r="J6" s="23">
        <f t="shared" si="3"/>
        <v>43.000000000000007</v>
      </c>
      <c r="K6" s="24">
        <f>IF(AND((B6 &lt;&gt; ""), (C6 &lt;&gt; ""), (D6 &lt;&gt; ""), (E6 &lt;&gt; "")), IF((((8 - I6) * 60) + 1) &gt; 0, (((8 - I6) * 60) + 1), (((8 - I6) * 60) - 1)), "-")</f>
        <v>-23.000000000000028</v>
      </c>
    </row>
    <row r="7" spans="1:12" ht="36.75" thickBot="1" x14ac:dyDescent="0.6">
      <c r="B7" s="36"/>
      <c r="H7" s="2" t="s">
        <v>10</v>
      </c>
      <c r="I7" s="5">
        <f>SUM(I2:I6)</f>
        <v>41.81666666666667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-1.81666666666667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11" priority="4" operator="greaterThan">
      <formula>7.99999999</formula>
    </cfRule>
    <cfRule type="cellIs" dxfId="310" priority="5" operator="lessThan">
      <formula>8</formula>
    </cfRule>
  </conditionalFormatting>
  <conditionalFormatting sqref="I7">
    <cfRule type="cellIs" dxfId="309" priority="6" operator="lessThan">
      <formula>40</formula>
    </cfRule>
    <cfRule type="cellIs" dxfId="308" priority="7" operator="greaterThan">
      <formula>39.999999</formula>
    </cfRule>
  </conditionalFormatting>
  <conditionalFormatting sqref="K2:K6">
    <cfRule type="cellIs" dxfId="307" priority="1" operator="equal">
      <formula>"-"</formula>
    </cfRule>
    <cfRule type="cellIs" dxfId="306" priority="2" operator="greaterThan">
      <formula>0.1</formula>
    </cfRule>
    <cfRule type="cellIs" dxfId="305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6FEA-29CD-4EF6-AAA0-8DBF6214E936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11/03/2025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(3rd)</v>
      </c>
      <c r="B2" s="18">
        <v>0.28819444444444442</v>
      </c>
      <c r="C2" s="18">
        <v>0.55000000000000004</v>
      </c>
      <c r="D2" s="18">
        <v>0.5805555555555556</v>
      </c>
      <c r="E2" s="19">
        <v>0.66736111111111107</v>
      </c>
      <c r="F2" s="12"/>
      <c r="G2" s="12">
        <f>SUM(C2 - B2) * 24</f>
        <v>6.283333333333335</v>
      </c>
      <c r="H2" s="13">
        <f>SUM(E2 - D2) * 24</f>
        <v>2.0833333333333313</v>
      </c>
      <c r="I2" s="4">
        <f>G2 + H2 + F2</f>
        <v>8.3666666666666671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-23.000000000000028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(4th)</v>
      </c>
      <c r="B3" s="18">
        <v>0.28819444444444442</v>
      </c>
      <c r="C3" s="18">
        <v>0.53194444444444444</v>
      </c>
      <c r="D3" s="18">
        <v>0.56180555555555556</v>
      </c>
      <c r="E3" s="19">
        <v>0.66666666666666663</v>
      </c>
      <c r="F3" s="13"/>
      <c r="G3" s="12">
        <f>SUM(C3 - B3) * 24</f>
        <v>5.8500000000000005</v>
      </c>
      <c r="H3" s="13">
        <f>SUM(E3 - D3) * 24</f>
        <v>2.5166666666666657</v>
      </c>
      <c r="I3" s="4">
        <f t="shared" ref="I3:I6" si="0">G3 + H3 + F3</f>
        <v>8.3666666666666671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(5th)</v>
      </c>
      <c r="B4" s="18">
        <v>0.28819444444444442</v>
      </c>
      <c r="C4" s="18">
        <v>0.52708333333333335</v>
      </c>
      <c r="D4" s="18">
        <v>0.55763888888888891</v>
      </c>
      <c r="E4" s="19">
        <v>0.66805555555555551</v>
      </c>
      <c r="F4" s="20"/>
      <c r="G4" s="12">
        <f t="shared" ref="G4:G5" si="1">SUM(C4 - B4) * 24</f>
        <v>5.7333333333333343</v>
      </c>
      <c r="H4" s="13">
        <f t="shared" ref="H4:H6" si="2">SUM(E4 - D4) * 24</f>
        <v>2.6499999999999986</v>
      </c>
      <c r="I4" s="4">
        <f t="shared" si="0"/>
        <v>8.3833333333333329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-23.999999999999972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(6th)</v>
      </c>
      <c r="B5" s="18">
        <v>0.28819444444444442</v>
      </c>
      <c r="C5" s="18">
        <v>0.49236111111111114</v>
      </c>
      <c r="D5" s="18">
        <v>0.5229166666666667</v>
      </c>
      <c r="E5" s="19">
        <v>0.66666666666666663</v>
      </c>
      <c r="F5" s="20"/>
      <c r="G5" s="12">
        <f t="shared" si="1"/>
        <v>4.9000000000000012</v>
      </c>
      <c r="H5" s="13">
        <f t="shared" si="2"/>
        <v>3.4499999999999984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(7th)</v>
      </c>
      <c r="B6" s="18">
        <v>0.28819444444444442</v>
      </c>
      <c r="C6" s="18">
        <v>0.50624999999999998</v>
      </c>
      <c r="D6" s="18">
        <v>0.53680555555555554</v>
      </c>
      <c r="E6" s="19">
        <v>0.66666666666666663</v>
      </c>
      <c r="F6" s="13"/>
      <c r="G6" s="12">
        <f>SUM(C6 - B6) * 24</f>
        <v>5.2333333333333334</v>
      </c>
      <c r="H6" s="13">
        <f t="shared" si="2"/>
        <v>3.1166666666666663</v>
      </c>
      <c r="I6" s="4">
        <f t="shared" si="0"/>
        <v>8.35</v>
      </c>
      <c r="J6" s="23">
        <f t="shared" si="3"/>
        <v>44</v>
      </c>
      <c r="K6" s="24">
        <f>IF(AND((B6 &lt;&gt; ""), (C6 &lt;&gt; ""), (D6 &lt;&gt; ""), (E6 &lt;&gt; "")), IF((((8 - I6) * 60) + 1) &gt; 0, (((8 - I6) * 60) + 1), (((8 - I6) * 60) - 1)), "-")</f>
        <v>-21.999999999999979</v>
      </c>
    </row>
    <row r="7" spans="1:12" ht="36.75" thickBot="1" x14ac:dyDescent="0.6">
      <c r="B7" s="36"/>
      <c r="H7" s="2" t="s">
        <v>10</v>
      </c>
      <c r="I7" s="5">
        <f>SUM(I2:I6)</f>
        <v>41.81666666666667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-1.81666666666667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304" priority="4" operator="greaterThan">
      <formula>7.99999999</formula>
    </cfRule>
    <cfRule type="cellIs" dxfId="303" priority="5" operator="lessThan">
      <formula>8</formula>
    </cfRule>
  </conditionalFormatting>
  <conditionalFormatting sqref="I7">
    <cfRule type="cellIs" dxfId="302" priority="6" operator="lessThan">
      <formula>40</formula>
    </cfRule>
    <cfRule type="cellIs" dxfId="301" priority="7" operator="greaterThan">
      <formula>39.999999</formula>
    </cfRule>
  </conditionalFormatting>
  <conditionalFormatting sqref="K2:K6">
    <cfRule type="cellIs" dxfId="300" priority="1" operator="equal">
      <formula>"-"</formula>
    </cfRule>
    <cfRule type="cellIs" dxfId="299" priority="2" operator="greaterThan">
      <formula>0.1</formula>
    </cfRule>
    <cfRule type="cellIs" dxfId="298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1557-D492-4BFA-AEC0-7B4ED74011A3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10/27/2025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(27th)</v>
      </c>
      <c r="B2" s="18">
        <v>0.28819444444444442</v>
      </c>
      <c r="C2" s="18">
        <v>0.51041666666666663</v>
      </c>
      <c r="D2" s="18">
        <v>0.54097222222222219</v>
      </c>
      <c r="E2" s="19">
        <v>0.66666666666666663</v>
      </c>
      <c r="F2" s="12"/>
      <c r="G2" s="12">
        <f>SUM(C2 - B2) * 24</f>
        <v>5.333333333333333</v>
      </c>
      <c r="H2" s="13">
        <f>SUM(E2 - D2) * 24</f>
        <v>3.0166666666666666</v>
      </c>
      <c r="I2" s="4">
        <f>G2 + H2 + F2</f>
        <v>8.35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-21.999999999999979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(28th)</v>
      </c>
      <c r="B3" s="18">
        <v>0.28680555555555554</v>
      </c>
      <c r="C3" s="18">
        <v>0.4861111111111111</v>
      </c>
      <c r="D3" s="18">
        <v>0.51736111111111116</v>
      </c>
      <c r="E3" s="19">
        <v>0.66666666666666663</v>
      </c>
      <c r="F3" s="13"/>
      <c r="G3" s="12">
        <f>SUM(C3 - B3) * 24</f>
        <v>4.7833333333333332</v>
      </c>
      <c r="H3" s="13">
        <f>SUM(E3 - D3) * 24</f>
        <v>3.5833333333333313</v>
      </c>
      <c r="I3" s="4">
        <f t="shared" ref="I3:I6" si="0">G3 + H3 + F3</f>
        <v>8.3666666666666636</v>
      </c>
      <c r="J3" s="23">
        <f>IF(AND(C3 &lt;&gt; "", D3 &lt;&gt; ""), (SUM(D3 - C3) * 1440), " - ")</f>
        <v>45.000000000000078</v>
      </c>
      <c r="K3" s="24">
        <f>IF(AND((B3 &lt;&gt; ""), (C3 &lt;&gt; ""), (D3 &lt;&gt; ""), (E3 &lt;&gt; "")), IF((((8 - I3) * 60) + 1) &gt; 0, (((8 - I3) * 60) + 1), (((8 - I3) * 60) - 1)), "-")</f>
        <v>-22.999999999999815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(29th)</v>
      </c>
      <c r="B4" s="18">
        <v>0.28819444444444442</v>
      </c>
      <c r="C4" s="18">
        <v>0.54652777777777772</v>
      </c>
      <c r="D4" s="18">
        <v>0.5756944444444444</v>
      </c>
      <c r="E4" s="19">
        <v>0.67222222222222228</v>
      </c>
      <c r="F4" s="20"/>
      <c r="G4" s="12">
        <f t="shared" ref="G4:G5" si="1">SUM(C4 - B4) * 24</f>
        <v>6.1999999999999993</v>
      </c>
      <c r="H4" s="13">
        <f t="shared" ref="H4:H6" si="2">SUM(E4 - D4) * 24</f>
        <v>2.3166666666666691</v>
      </c>
      <c r="I4" s="4">
        <f t="shared" si="0"/>
        <v>8.5166666666666693</v>
      </c>
      <c r="J4" s="23">
        <f t="shared" ref="J4:J6" si="3">IF(AND(C4 &lt;&gt; "", D4 &lt;&gt; ""), (SUM(D4 - C4) * 1440), " - ")</f>
        <v>42.000000000000014</v>
      </c>
      <c r="K4" s="24">
        <f t="shared" ref="K4:K5" si="4">IF(AND((B4 &lt;&gt; ""), (C4 &lt;&gt; ""), (D4 &lt;&gt; ""), (E4 &lt;&gt; "")), IF((((8 - I4) * 60) + 1) &gt; 0, (((8 - I4) * 60) + 1), (((8 - I4) * 60) - 1)), "-")</f>
        <v>-32.000000000000156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(30th)</v>
      </c>
      <c r="B5" s="18">
        <v>0.2902777777777778</v>
      </c>
      <c r="C5" s="18">
        <v>0.5444444444444444</v>
      </c>
      <c r="D5" s="18">
        <v>0.5756944444444444</v>
      </c>
      <c r="E5" s="19">
        <v>0.66666666666666663</v>
      </c>
      <c r="F5" s="20"/>
      <c r="G5" s="12">
        <f t="shared" si="1"/>
        <v>6.0999999999999979</v>
      </c>
      <c r="H5" s="13">
        <f t="shared" si="2"/>
        <v>2.1833333333333336</v>
      </c>
      <c r="I5" s="4">
        <f t="shared" si="0"/>
        <v>8.2833333333333314</v>
      </c>
      <c r="J5" s="23">
        <f t="shared" si="3"/>
        <v>45</v>
      </c>
      <c r="K5" s="24">
        <f t="shared" si="4"/>
        <v>-17.999999999999886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(31st)</v>
      </c>
      <c r="B6" s="18">
        <v>0.28819444444444442</v>
      </c>
      <c r="C6" s="18">
        <v>0.50138888888888888</v>
      </c>
      <c r="D6" s="18">
        <v>0.53194444444444444</v>
      </c>
      <c r="E6" s="19">
        <v>0.66736111111111107</v>
      </c>
      <c r="F6" s="13"/>
      <c r="G6" s="12">
        <f>SUM(C6 - B6) * 24</f>
        <v>5.1166666666666671</v>
      </c>
      <c r="H6" s="13">
        <f t="shared" si="2"/>
        <v>3.2499999999999991</v>
      </c>
      <c r="I6" s="4">
        <f t="shared" si="0"/>
        <v>8.3666666666666671</v>
      </c>
      <c r="J6" s="23">
        <f t="shared" si="3"/>
        <v>44</v>
      </c>
      <c r="K6" s="24">
        <f>IF(AND((B6 &lt;&gt; ""), (C6 &lt;&gt; ""), (D6 &lt;&gt; ""), (E6 &lt;&gt; "")), IF((((8 - I6) * 60) + 1) &gt; 0, (((8 - I6) * 60) + 1), (((8 - I6) * 60) - 1)), "-")</f>
        <v>-23.000000000000028</v>
      </c>
    </row>
    <row r="7" spans="1:12" ht="36.75" thickBot="1" x14ac:dyDescent="0.6">
      <c r="B7" s="36"/>
      <c r="H7" s="2" t="s">
        <v>10</v>
      </c>
      <c r="I7" s="5">
        <f>SUM(I2:I6)</f>
        <v>41.883333333333333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-1.8833333333333329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97" priority="4" operator="greaterThan">
      <formula>7.99999999</formula>
    </cfRule>
    <cfRule type="cellIs" dxfId="296" priority="5" operator="lessThan">
      <formula>8</formula>
    </cfRule>
  </conditionalFormatting>
  <conditionalFormatting sqref="I7">
    <cfRule type="cellIs" dxfId="295" priority="6" operator="lessThan">
      <formula>40</formula>
    </cfRule>
    <cfRule type="cellIs" dxfId="294" priority="7" operator="greaterThan">
      <formula>39.999999</formula>
    </cfRule>
  </conditionalFormatting>
  <conditionalFormatting sqref="K2:K6">
    <cfRule type="cellIs" dxfId="293" priority="1" operator="equal">
      <formula>"-"</formula>
    </cfRule>
    <cfRule type="cellIs" dxfId="292" priority="2" operator="greaterThan">
      <formula>0.1</formula>
    </cfRule>
    <cfRule type="cellIs" dxfId="29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CC0E-B139-41A1-AF2D-7297CBA19F75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10/20/2025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(20th)</v>
      </c>
      <c r="B2" s="18">
        <v>0.28819444444444442</v>
      </c>
      <c r="C2" s="18">
        <v>0.54791666666666672</v>
      </c>
      <c r="D2" s="18">
        <v>0.57847222222222228</v>
      </c>
      <c r="E2" s="19">
        <v>0.66666666666666663</v>
      </c>
      <c r="F2" s="12"/>
      <c r="G2" s="12">
        <f>SUM(C2 - B2) * 24</f>
        <v>6.2333333333333352</v>
      </c>
      <c r="H2" s="13">
        <f>SUM(E2 - D2) * 24</f>
        <v>2.1166666666666645</v>
      </c>
      <c r="I2" s="4">
        <f>G2 + H2 + F2</f>
        <v>8.35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-21.999999999999979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(21st)</v>
      </c>
      <c r="B3" s="18">
        <v>0.28819444444444442</v>
      </c>
      <c r="C3" s="18">
        <v>0.51111111111111107</v>
      </c>
      <c r="D3" s="18">
        <v>0.54305555555555551</v>
      </c>
      <c r="E3" s="19">
        <v>0.66666666666666663</v>
      </c>
      <c r="F3" s="13"/>
      <c r="G3" s="12">
        <f>SUM(C3 - B3) * 24</f>
        <v>5.35</v>
      </c>
      <c r="H3" s="13">
        <f>SUM(E3 - D3) * 24</f>
        <v>2.9666666666666668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(22nd)</v>
      </c>
      <c r="B4" s="18">
        <v>0.2902777777777778</v>
      </c>
      <c r="C4" s="18">
        <v>0.52152777777777781</v>
      </c>
      <c r="D4" s="18">
        <v>0.55208333333333337</v>
      </c>
      <c r="E4" s="19">
        <v>0.66666666666666663</v>
      </c>
      <c r="F4" s="20"/>
      <c r="G4" s="12">
        <f t="shared" ref="G4:G5" si="1">SUM(C4 - B4) * 24</f>
        <v>5.5500000000000007</v>
      </c>
      <c r="H4" s="13">
        <f t="shared" ref="H4:H6" si="2">SUM(E4 - D4) * 24</f>
        <v>2.7499999999999982</v>
      </c>
      <c r="I4" s="4">
        <f t="shared" si="0"/>
        <v>8.2999999999999989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-18.999999999999936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(23rd)</v>
      </c>
      <c r="B5" s="18">
        <v>0.28819444444444442</v>
      </c>
      <c r="C5" s="18">
        <v>0.49930555555555556</v>
      </c>
      <c r="D5" s="18">
        <v>0.52986111111111112</v>
      </c>
      <c r="E5" s="19">
        <v>0.66666666666666663</v>
      </c>
      <c r="F5" s="20"/>
      <c r="G5" s="12">
        <f t="shared" si="1"/>
        <v>5.0666666666666673</v>
      </c>
      <c r="H5" s="13">
        <f t="shared" si="2"/>
        <v>3.2833333333333323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(24th)</v>
      </c>
      <c r="B6" s="18">
        <v>0.28888888888888886</v>
      </c>
      <c r="C6" s="18">
        <v>0.48888888888888887</v>
      </c>
      <c r="D6" s="18">
        <v>0.52013888888888893</v>
      </c>
      <c r="E6" s="19">
        <v>0.66666666666666663</v>
      </c>
      <c r="F6" s="13"/>
      <c r="G6" s="12">
        <f>SUM(C6 - B6) * 24</f>
        <v>4.8000000000000007</v>
      </c>
      <c r="H6" s="13">
        <f t="shared" si="2"/>
        <v>3.5166666666666648</v>
      </c>
      <c r="I6" s="4">
        <f t="shared" si="0"/>
        <v>8.3166666666666664</v>
      </c>
      <c r="J6" s="23">
        <f t="shared" si="3"/>
        <v>45.000000000000078</v>
      </c>
      <c r="K6" s="24">
        <f>IF(AND((B6 &lt;&gt; ""), (C6 &lt;&gt; ""), (D6 &lt;&gt; ""), (E6 &lt;&gt; "")), IF((((8 - I6) * 60) + 1) &gt; 0, (((8 - I6) * 60) + 1), (((8 - I6) * 60) - 1)), "-")</f>
        <v>-19.999999999999986</v>
      </c>
    </row>
    <row r="7" spans="1:12" ht="36.75" thickBot="1" x14ac:dyDescent="0.6">
      <c r="B7" s="36"/>
      <c r="H7" s="2" t="s">
        <v>10</v>
      </c>
      <c r="I7" s="5">
        <f>SUM(I2:I6)</f>
        <v>41.633333333333326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-1.6333333333333258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90" priority="4" operator="greaterThan">
      <formula>7.99999999</formula>
    </cfRule>
    <cfRule type="cellIs" dxfId="289" priority="5" operator="lessThan">
      <formula>8</formula>
    </cfRule>
  </conditionalFormatting>
  <conditionalFormatting sqref="I7">
    <cfRule type="cellIs" dxfId="288" priority="6" operator="lessThan">
      <formula>40</formula>
    </cfRule>
    <cfRule type="cellIs" dxfId="287" priority="7" operator="greaterThan">
      <formula>39.999999</formula>
    </cfRule>
  </conditionalFormatting>
  <conditionalFormatting sqref="K2:K6">
    <cfRule type="cellIs" dxfId="286" priority="1" operator="equal">
      <formula>"-"</formula>
    </cfRule>
    <cfRule type="cellIs" dxfId="285" priority="2" operator="greaterThan">
      <formula>0.1</formula>
    </cfRule>
    <cfRule type="cellIs" dxfId="28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7C1A-17C6-41C2-BBEC-F518536C5C5A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10/13/2025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(13th)</v>
      </c>
      <c r="B2" s="18">
        <v>0.28819444444444442</v>
      </c>
      <c r="C2" s="18">
        <v>0.52708333333333335</v>
      </c>
      <c r="D2" s="18">
        <v>0.54166666666666663</v>
      </c>
      <c r="E2" s="19">
        <v>0.60416666666666663</v>
      </c>
      <c r="F2" s="12"/>
      <c r="G2" s="12">
        <f>SUM(C2 - B2) * 24</f>
        <v>5.7333333333333343</v>
      </c>
      <c r="H2" s="13">
        <f>SUM(E2 - D2) * 24</f>
        <v>1.5</v>
      </c>
      <c r="I2" s="4">
        <f>G2 + H2 + F2</f>
        <v>7.2333333333333343</v>
      </c>
      <c r="J2" s="23">
        <f>IF(AND(C2 &lt;&gt; "", D2 &lt;&gt; ""), (SUM(D2 - C2) * 1440), " - ")</f>
        <v>20.999999999999925</v>
      </c>
      <c r="K2" s="24">
        <f>IF(AND((B2 &lt;&gt; ""), (C2 &lt;&gt; ""), (D2 &lt;&gt; ""), (E2 &lt;&gt; "")), IF((((8 - I2) * 60) + 1) &gt; 0, (((8 - I2) * 60) + 1), (((8 - I2) * 60) - 1)), "-")</f>
        <v>46.999999999999943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(14th)</v>
      </c>
      <c r="B3" s="18">
        <v>0.28819444444444442</v>
      </c>
      <c r="C3" s="18">
        <v>0.54583333333333328</v>
      </c>
      <c r="D3" s="18">
        <v>0.56458333333333333</v>
      </c>
      <c r="E3" s="19">
        <v>0.66666666666666663</v>
      </c>
      <c r="F3" s="13"/>
      <c r="G3" s="12">
        <f>SUM(C3 - B3) * 24</f>
        <v>6.1833333333333327</v>
      </c>
      <c r="H3" s="13">
        <f>SUM(E3 - D3) * 24</f>
        <v>2.4499999999999993</v>
      </c>
      <c r="I3" s="4">
        <f t="shared" ref="I3:I6" si="0">G3 + H3 + F3</f>
        <v>8.6333333333333329</v>
      </c>
      <c r="J3" s="23">
        <f>IF(AND(C3 &lt;&gt; "", D3 &lt;&gt; ""), (SUM(D3 - C3) * 1440), " - ")</f>
        <v>27.000000000000064</v>
      </c>
      <c r="K3" s="24">
        <f>IF(AND((B3 &lt;&gt; ""), (C3 &lt;&gt; ""), (D3 &lt;&gt; ""), (E3 &lt;&gt; "")), IF((((8 - I3) * 60) + 1) &gt; 0, (((8 - I3) * 60) + 1), (((8 - I3) * 60) - 1)), "-")</f>
        <v>-38.999999999999972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(15th)</v>
      </c>
      <c r="B4" s="18">
        <v>0.28819444444444442</v>
      </c>
      <c r="C4" s="18">
        <v>0.50624999999999998</v>
      </c>
      <c r="D4" s="18">
        <v>0.52777777777777779</v>
      </c>
      <c r="E4" s="19">
        <v>0.66666666666666663</v>
      </c>
      <c r="F4" s="20"/>
      <c r="G4" s="12">
        <f t="shared" ref="G4:G5" si="1">SUM(C4 - B4) * 24</f>
        <v>5.2333333333333334</v>
      </c>
      <c r="H4" s="13">
        <f t="shared" ref="H4:H6" si="2">SUM(E4 - D4) * 24</f>
        <v>3.3333333333333321</v>
      </c>
      <c r="I4" s="4">
        <f t="shared" si="0"/>
        <v>8.5666666666666664</v>
      </c>
      <c r="J4" s="23">
        <f t="shared" ref="J4:J6" si="3">IF(AND(C4 &lt;&gt; "", D4 &lt;&gt; ""), (SUM(D4 - C4) * 1440), " - ")</f>
        <v>31.00000000000005</v>
      </c>
      <c r="K4" s="24">
        <f t="shared" ref="K4:K5" si="4">IF(AND((B4 &lt;&gt; ""), (C4 &lt;&gt; ""), (D4 &lt;&gt; ""), (E4 &lt;&gt; "")), IF((((8 - I4) * 60) + 1) &gt; 0, (((8 - I4) * 60) + 1), (((8 - I4) * 60) - 1)), "-")</f>
        <v>-34.999999999999986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(16th)</v>
      </c>
      <c r="B5" s="18">
        <v>0.28819444444444442</v>
      </c>
      <c r="C5" s="18">
        <v>0.48402777777777778</v>
      </c>
      <c r="D5" s="18">
        <v>0.5131944444444444</v>
      </c>
      <c r="E5" s="19">
        <v>0.66666666666666663</v>
      </c>
      <c r="F5" s="20"/>
      <c r="G5" s="12">
        <f t="shared" si="1"/>
        <v>4.7000000000000011</v>
      </c>
      <c r="H5" s="13">
        <f t="shared" si="2"/>
        <v>3.6833333333333336</v>
      </c>
      <c r="I5" s="4">
        <f t="shared" si="0"/>
        <v>8.3833333333333346</v>
      </c>
      <c r="J5" s="23">
        <f t="shared" si="3"/>
        <v>41.999999999999929</v>
      </c>
      <c r="K5" s="24">
        <f t="shared" si="4"/>
        <v>-24.000000000000078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(17th)</v>
      </c>
      <c r="B6" s="18">
        <v>0.28819444444444442</v>
      </c>
      <c r="C6" s="18">
        <v>0.49861111111111112</v>
      </c>
      <c r="D6" s="18">
        <v>0.53194444444444444</v>
      </c>
      <c r="E6" s="19">
        <v>0.66666666666666663</v>
      </c>
      <c r="F6" s="13"/>
      <c r="G6" s="12">
        <f>SUM(C6 - B6) * 24</f>
        <v>5.0500000000000007</v>
      </c>
      <c r="H6" s="13">
        <f t="shared" si="2"/>
        <v>3.2333333333333325</v>
      </c>
      <c r="I6" s="4">
        <f t="shared" si="0"/>
        <v>8.2833333333333332</v>
      </c>
      <c r="J6" s="23">
        <f t="shared" si="3"/>
        <v>47.999999999999986</v>
      </c>
      <c r="K6" s="24">
        <f>IF(AND((B6 &lt;&gt; ""), (C6 &lt;&gt; ""), (D6 &lt;&gt; ""), (E6 &lt;&gt; "")), IF((((8 - I6) * 60) + 1) &gt; 0, (((8 - I6) * 60) + 1), (((8 - I6) * 60) - 1)), "-")</f>
        <v>-17.999999999999993</v>
      </c>
    </row>
    <row r="7" spans="1:12" ht="36.75" thickBot="1" x14ac:dyDescent="0.6">
      <c r="B7" s="36"/>
      <c r="H7" s="2" t="s">
        <v>10</v>
      </c>
      <c r="I7" s="5">
        <f>SUM(I2:I6)</f>
        <v>41.1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-1.1000000000000014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83" priority="4" operator="greaterThan">
      <formula>7.99999999</formula>
    </cfRule>
    <cfRule type="cellIs" dxfId="282" priority="5" operator="lessThan">
      <formula>8</formula>
    </cfRule>
  </conditionalFormatting>
  <conditionalFormatting sqref="I7">
    <cfRule type="cellIs" dxfId="281" priority="6" operator="lessThan">
      <formula>40</formula>
    </cfRule>
    <cfRule type="cellIs" dxfId="280" priority="7" operator="greaterThan">
      <formula>39.999999</formula>
    </cfRule>
  </conditionalFormatting>
  <conditionalFormatting sqref="K2:K6">
    <cfRule type="cellIs" dxfId="279" priority="1" operator="equal">
      <formula>"-"</formula>
    </cfRule>
    <cfRule type="cellIs" dxfId="278" priority="2" operator="greaterThan">
      <formula>0.1</formula>
    </cfRule>
    <cfRule type="cellIs" dxfId="27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D528-2F67-41D6-8E4B-34A62667DD24}"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10/06/2025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(6th)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(7th)</v>
      </c>
      <c r="B3" s="18">
        <v>0.28749999999999998</v>
      </c>
      <c r="C3" s="18">
        <v>0.52361111111111114</v>
      </c>
      <c r="D3" s="18">
        <v>0.55347222222222225</v>
      </c>
      <c r="E3" s="19">
        <v>0.66666666666666663</v>
      </c>
      <c r="F3" s="13"/>
      <c r="G3" s="12">
        <f>SUM(C3 - B3) * 24</f>
        <v>5.6666666666666679</v>
      </c>
      <c r="H3" s="13">
        <f>SUM(E3 - D3) * 24</f>
        <v>2.716666666666665</v>
      </c>
      <c r="I3" s="4">
        <f t="shared" ref="I3:I6" si="0">G3 + H3 + F3</f>
        <v>8.3833333333333329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(8th)</v>
      </c>
      <c r="B4" s="18">
        <v>0.28819444444444442</v>
      </c>
      <c r="C4" s="18">
        <v>0.5708333333333333</v>
      </c>
      <c r="D4" s="18">
        <v>0.60069444444444442</v>
      </c>
      <c r="E4" s="19">
        <v>0.66874999999999996</v>
      </c>
      <c r="F4" s="20"/>
      <c r="G4" s="12">
        <f t="shared" ref="G4:G5" si="1">SUM(C4 - B4) * 24</f>
        <v>6.7833333333333332</v>
      </c>
      <c r="H4" s="13">
        <f t="shared" ref="H4:H6" si="2">SUM(E4 - D4) * 24</f>
        <v>1.6333333333333329</v>
      </c>
      <c r="I4" s="4">
        <f t="shared" si="0"/>
        <v>8.4166666666666661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-25.999999999999964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(9th)</v>
      </c>
      <c r="B5" s="18">
        <v>0.28819444444444442</v>
      </c>
      <c r="C5" s="18">
        <v>0.58611111111111114</v>
      </c>
      <c r="D5" s="18">
        <v>0.61597222222222225</v>
      </c>
      <c r="E5" s="19">
        <v>0.66666666666666663</v>
      </c>
      <c r="F5" s="20"/>
      <c r="G5" s="12">
        <f t="shared" si="1"/>
        <v>7.1500000000000012</v>
      </c>
      <c r="H5" s="13">
        <f t="shared" si="2"/>
        <v>1.216666666666665</v>
      </c>
      <c r="I5" s="4">
        <f t="shared" si="0"/>
        <v>8.3666666666666671</v>
      </c>
      <c r="J5" s="23">
        <f t="shared" si="3"/>
        <v>43.000000000000007</v>
      </c>
      <c r="K5" s="24">
        <f t="shared" si="4"/>
        <v>-23.000000000000028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(10th)</v>
      </c>
      <c r="B6" s="18">
        <v>0.28819444444444442</v>
      </c>
      <c r="C6" s="18">
        <v>0.51041666666666663</v>
      </c>
      <c r="D6" s="18">
        <v>0.54166666666666663</v>
      </c>
      <c r="E6" s="19">
        <v>0.66666666666666663</v>
      </c>
      <c r="F6" s="13"/>
      <c r="G6" s="12">
        <f>SUM(C6 - B6) * 24</f>
        <v>5.333333333333333</v>
      </c>
      <c r="H6" s="13">
        <f t="shared" si="2"/>
        <v>3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2" ht="36.75" thickBot="1" x14ac:dyDescent="0.6">
      <c r="B7" s="36"/>
      <c r="H7" s="2" t="s">
        <v>10</v>
      </c>
      <c r="I7" s="5">
        <f>SUM(I2:I6)</f>
        <v>41.5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-1.5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76" priority="4" operator="greaterThan">
      <formula>7.99999999</formula>
    </cfRule>
    <cfRule type="cellIs" dxfId="275" priority="5" operator="lessThan">
      <formula>8</formula>
    </cfRule>
  </conditionalFormatting>
  <conditionalFormatting sqref="I7">
    <cfRule type="cellIs" dxfId="274" priority="6" operator="lessThan">
      <formula>40</formula>
    </cfRule>
    <cfRule type="cellIs" dxfId="273" priority="7" operator="greaterThan">
      <formula>39.999999</formula>
    </cfRule>
  </conditionalFormatting>
  <conditionalFormatting sqref="K2:K6">
    <cfRule type="cellIs" dxfId="272" priority="1" operator="equal">
      <formula>"-"</formula>
    </cfRule>
    <cfRule type="cellIs" dxfId="271" priority="2" operator="greaterThan">
      <formula>0.1</formula>
    </cfRule>
    <cfRule type="cellIs" dxfId="27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37-C959-443C-B0D5-654EDB3E0224}">
  <sheetPr codeName="Sheet39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09/29/2025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(29th)</v>
      </c>
      <c r="B2" s="18">
        <v>0.28819444444444442</v>
      </c>
      <c r="C2" s="18">
        <v>0.50277777777777777</v>
      </c>
      <c r="D2" s="18">
        <v>0.53402777777777777</v>
      </c>
      <c r="E2" s="19">
        <v>0.58333333333333337</v>
      </c>
      <c r="F2" s="12">
        <v>2</v>
      </c>
      <c r="G2" s="12">
        <f>SUM(C2 - B2) * 24</f>
        <v>5.15</v>
      </c>
      <c r="H2" s="13">
        <f>SUM(E2 - D2) * 24</f>
        <v>1.1833333333333345</v>
      </c>
      <c r="I2" s="4">
        <f>G2 + H2 + F2</f>
        <v>8.3333333333333357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-21.000000000000142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(30th)</v>
      </c>
      <c r="B3" s="18">
        <v>0.28819444444444442</v>
      </c>
      <c r="C3" s="18">
        <v>0.51388888888888884</v>
      </c>
      <c r="D3" s="18">
        <v>0.53819444444444442</v>
      </c>
      <c r="E3" s="19">
        <v>0.66666666666666663</v>
      </c>
      <c r="F3" s="13"/>
      <c r="G3" s="12">
        <f>SUM(C3 - B3) * 24</f>
        <v>5.4166666666666661</v>
      </c>
      <c r="H3" s="13">
        <f>SUM(E3 - D3) * 24</f>
        <v>3.083333333333333</v>
      </c>
      <c r="I3" s="4">
        <f t="shared" ref="I3:I6" si="0">G3 + H3 + F3</f>
        <v>8.5</v>
      </c>
      <c r="J3" s="23">
        <f>IF(AND(C3 &lt;&gt; "", D3 &lt;&gt; ""), (SUM(D3 - C3) * 1440), " - ")</f>
        <v>35.000000000000036</v>
      </c>
      <c r="K3" s="24">
        <f>IF(AND((B3 &lt;&gt; ""), (C3 &lt;&gt; ""), (D3 &lt;&gt; ""), (E3 &lt;&gt; "")), IF((((8 - I3) * 60) + 1) &gt; 0, (((8 - I3) * 60) + 1), (((8 - I3) * 60) - 1)), "-")</f>
        <v>-31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(1st)</v>
      </c>
      <c r="B4" s="18">
        <v>0.28819444444444442</v>
      </c>
      <c r="C4" s="38"/>
      <c r="D4" s="38"/>
      <c r="E4" s="19">
        <v>0.66666666666666663</v>
      </c>
      <c r="F4" s="20"/>
      <c r="G4" s="12">
        <f t="shared" ref="G4:G5" si="1">SUM(C4 - B4) * 24</f>
        <v>-6.9166666666666661</v>
      </c>
      <c r="H4" s="13">
        <f t="shared" ref="H4:H6" si="2">SUM(E4 - D4) * 24</f>
        <v>16</v>
      </c>
      <c r="I4" s="4">
        <f t="shared" si="0"/>
        <v>9.0833333333333339</v>
      </c>
      <c r="J4" s="23" t="str">
        <f t="shared" ref="J4:J6" si="3">IF(AND(C4 &lt;&gt; "", D4 &lt;&gt; ""), (SUM(D4 - C4) * 1440), " - ")</f>
        <v xml:space="preserve"> - </v>
      </c>
      <c r="K4" s="24" t="str">
        <f t="shared" ref="K4:K5" si="4">IF(AND((B4 &lt;&gt; ""), (C4 &lt;&gt; ""), (D4 &lt;&gt; ""), (E4 &lt;&gt; "")), IF((((8 - I4) * 60) + 1) &gt; 0, (((8 - I4) * 60) + 1), (((8 - I4) * 60) - 1)), "-")</f>
        <v>-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(2nd)</v>
      </c>
      <c r="B5" s="18">
        <v>0.28819444444444442</v>
      </c>
      <c r="C5" s="18">
        <v>0.49722222222222223</v>
      </c>
      <c r="D5" s="18">
        <v>0.52777777777777779</v>
      </c>
      <c r="E5" s="19">
        <v>0.66666666666666663</v>
      </c>
      <c r="F5" s="20"/>
      <c r="G5" s="12">
        <f t="shared" si="1"/>
        <v>5.0166666666666675</v>
      </c>
      <c r="H5" s="13">
        <f t="shared" si="2"/>
        <v>3.3333333333333321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(3rd)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36"/>
      <c r="H7" s="2" t="s">
        <v>10</v>
      </c>
      <c r="I7" s="5">
        <f>SUM(I2:I6)</f>
        <v>42.266666666666673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-2.2666666666666728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69" priority="4" operator="greaterThan">
      <formula>7.99999999</formula>
    </cfRule>
    <cfRule type="cellIs" dxfId="268" priority="5" operator="lessThan">
      <formula>8</formula>
    </cfRule>
  </conditionalFormatting>
  <conditionalFormatting sqref="I7">
    <cfRule type="cellIs" dxfId="267" priority="6" operator="lessThan">
      <formula>40</formula>
    </cfRule>
    <cfRule type="cellIs" dxfId="266" priority="7" operator="greaterThan">
      <formula>39.999999</formula>
    </cfRule>
  </conditionalFormatting>
  <conditionalFormatting sqref="K2:K6">
    <cfRule type="cellIs" dxfId="265" priority="1" operator="equal">
      <formula>"-"</formula>
    </cfRule>
    <cfRule type="cellIs" dxfId="264" priority="2" operator="greaterThan">
      <formula>0.1</formula>
    </cfRule>
    <cfRule type="cellIs" dxfId="263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576B-DCAF-4AE1-9768-1F8CB657DC15}">
  <sheetPr codeName="Sheet17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09/22/2025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(22nd)</v>
      </c>
      <c r="B2" s="18">
        <v>0.28819444444444442</v>
      </c>
      <c r="C2" s="18">
        <v>0.5180555555555556</v>
      </c>
      <c r="D2" s="18">
        <v>0.54791666666666672</v>
      </c>
      <c r="E2" s="19">
        <v>0.66736111111111107</v>
      </c>
      <c r="F2" s="12"/>
      <c r="G2" s="12">
        <f>SUM(C2 - B2) * 24</f>
        <v>5.5166666666666684</v>
      </c>
      <c r="H2" s="13">
        <f>SUM(E2 - D2) * 24</f>
        <v>2.8666666666666645</v>
      </c>
      <c r="I2" s="4">
        <f>G2 + H2 + F2</f>
        <v>8.3833333333333329</v>
      </c>
      <c r="J2" s="23">
        <f>IF(AND(C2 &lt;&gt; "", D2 &lt;&gt; ""), (SUM(D2 - C2) * 1440), " - ")</f>
        <v>43.000000000000007</v>
      </c>
      <c r="K2" s="24">
        <f>IF(AND((B2 &lt;&gt; ""), (C2 &lt;&gt; ""), (D2 &lt;&gt; ""), (E2 &lt;&gt; "")), IF((((8 - I2) * 60) + 1) &gt; 0, (((8 - I2) * 60) + 1), (((8 - I2) * 60) - 1)), "-")</f>
        <v>-23.999999999999972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(23rd)</v>
      </c>
      <c r="B3" s="18">
        <v>0.28819444444444442</v>
      </c>
      <c r="C3" s="18">
        <v>0.5493055555555556</v>
      </c>
      <c r="D3" s="18">
        <v>0.57986111111111116</v>
      </c>
      <c r="E3" s="19">
        <v>0.67083333333333328</v>
      </c>
      <c r="F3" s="13"/>
      <c r="G3" s="12">
        <f>SUM(C3 - B3) * 24</f>
        <v>6.2666666666666684</v>
      </c>
      <c r="H3" s="13">
        <f>SUM(E3 - D3) * 24</f>
        <v>2.1833333333333309</v>
      </c>
      <c r="I3" s="4">
        <f t="shared" ref="I3:I6" si="0">G3 + H3 + F3</f>
        <v>8.4499999999999993</v>
      </c>
      <c r="J3" s="23">
        <f>IF(AND(C3 &lt;&gt; "", D3 &lt;&gt; ""), (SUM(D3 - C3) * 1440), " - ")</f>
        <v>44</v>
      </c>
      <c r="K3" s="24">
        <f>IF(AND((B3 &lt;&gt; ""), (C3 &lt;&gt; ""), (D3 &lt;&gt; ""), (E3 &lt;&gt; "")), IF((((8 - I3) * 60) + 1) &gt; 0, (((8 - I3) * 60) + 1), (((8 - I3) * 60) - 1)), "-")</f>
        <v>-27.999999999999957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(24th)</v>
      </c>
      <c r="B4" s="18">
        <v>0.28819444444444442</v>
      </c>
      <c r="C4" s="18">
        <v>0.57361111111111107</v>
      </c>
      <c r="D4" s="18">
        <v>0.61250000000000004</v>
      </c>
      <c r="E4" s="19">
        <v>0.67013888888888884</v>
      </c>
      <c r="F4" s="20"/>
      <c r="G4" s="12">
        <f t="shared" ref="G4:G5" si="1">SUM(C4 - B4) * 24</f>
        <v>6.85</v>
      </c>
      <c r="H4" s="13">
        <f t="shared" ref="H4:H6" si="2">SUM(E4 - D4) * 24</f>
        <v>1.3833333333333311</v>
      </c>
      <c r="I4" s="4">
        <f t="shared" si="0"/>
        <v>8.2333333333333307</v>
      </c>
      <c r="J4" s="23">
        <f t="shared" ref="J4:J6" si="3">IF(AND(C4 &lt;&gt; "", D4 &lt;&gt; ""), (SUM(D4 - C4) * 1440), " - ")</f>
        <v>56.000000000000121</v>
      </c>
      <c r="K4" s="24">
        <f t="shared" ref="K4:K5" si="4">IF(AND((B4 &lt;&gt; ""), (C4 &lt;&gt; ""), (D4 &lt;&gt; ""), (E4 &lt;&gt; "")), IF((((8 - I4) * 60) + 1) &gt; 0, (((8 - I4) * 60) + 1), (((8 - I4) * 60) - 1)), "-")</f>
        <v>-14.999999999999844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(25th)</v>
      </c>
      <c r="B5" s="18">
        <v>0.28819444444444442</v>
      </c>
      <c r="C5" s="18">
        <v>0.57777777777777772</v>
      </c>
      <c r="D5" s="18">
        <v>0.60624999999999996</v>
      </c>
      <c r="E5" s="19">
        <v>0.66666666666666663</v>
      </c>
      <c r="F5" s="20"/>
      <c r="G5" s="12">
        <f t="shared" si="1"/>
        <v>6.9499999999999993</v>
      </c>
      <c r="H5" s="13">
        <f t="shared" si="2"/>
        <v>1.4500000000000002</v>
      </c>
      <c r="I5" s="4">
        <f t="shared" si="0"/>
        <v>8.3999999999999986</v>
      </c>
      <c r="J5" s="23">
        <f t="shared" si="3"/>
        <v>41.000000000000014</v>
      </c>
      <c r="K5" s="24">
        <f t="shared" si="4"/>
        <v>-24.999999999999915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(26th)</v>
      </c>
      <c r="B6" s="18">
        <v>0.28819444444444442</v>
      </c>
      <c r="C6" s="18">
        <v>0.51041666666666663</v>
      </c>
      <c r="D6" s="18">
        <v>0.54305555555555551</v>
      </c>
      <c r="E6" s="19">
        <v>0.66666666666666663</v>
      </c>
      <c r="F6" s="13"/>
      <c r="G6" s="12">
        <f>SUM(C6 - B6) * 24</f>
        <v>5.333333333333333</v>
      </c>
      <c r="H6" s="13">
        <f t="shared" si="2"/>
        <v>2.9666666666666668</v>
      </c>
      <c r="I6" s="4">
        <f t="shared" si="0"/>
        <v>8.3000000000000007</v>
      </c>
      <c r="J6" s="23">
        <f t="shared" si="3"/>
        <v>46.999999999999993</v>
      </c>
      <c r="K6" s="24">
        <f>IF(AND((B6 &lt;&gt; ""), (C6 &lt;&gt; ""), (D6 &lt;&gt; ""), (E6 &lt;&gt; "")), IF((((8 - I6) * 60) + 1) &gt; 0, (((8 - I6) * 60) + 1), (((8 - I6) * 60) - 1)), "-")</f>
        <v>-19.000000000000043</v>
      </c>
    </row>
    <row r="7" spans="1:12" ht="36.75" thickBot="1" x14ac:dyDescent="0.6">
      <c r="B7" s="36"/>
      <c r="H7" s="2" t="s">
        <v>10</v>
      </c>
      <c r="I7" s="5">
        <f>SUM(I2:I6)</f>
        <v>41.766666666666666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-1.7666666666666657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62" priority="4" operator="greaterThan">
      <formula>7.99999999</formula>
    </cfRule>
    <cfRule type="cellIs" dxfId="261" priority="5" operator="lessThan">
      <formula>8</formula>
    </cfRule>
  </conditionalFormatting>
  <conditionalFormatting sqref="I7">
    <cfRule type="cellIs" dxfId="260" priority="6" operator="lessThan">
      <formula>40</formula>
    </cfRule>
    <cfRule type="cellIs" dxfId="259" priority="7" operator="greaterThan">
      <formula>39.999999</formula>
    </cfRule>
  </conditionalFormatting>
  <conditionalFormatting sqref="K2:K6">
    <cfRule type="cellIs" dxfId="258" priority="1" operator="equal">
      <formula>"-"</formula>
    </cfRule>
    <cfRule type="cellIs" dxfId="257" priority="2" operator="greaterThan">
      <formula>0.1</formula>
    </cfRule>
    <cfRule type="cellIs" dxfId="256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5E91-C83C-45C6-8C94-B81B93BFCAB1}">
  <sheetPr codeName="Sheet18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09/15/2025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(15th)</v>
      </c>
      <c r="B2" s="18">
        <v>0.28819444444444442</v>
      </c>
      <c r="C2" s="18">
        <v>0.55833333333333335</v>
      </c>
      <c r="D2" s="18">
        <v>0.58958333333333335</v>
      </c>
      <c r="E2" s="19">
        <v>0.66666666666666663</v>
      </c>
      <c r="F2" s="12"/>
      <c r="G2" s="12">
        <f>SUM(C2 - B2) * 24</f>
        <v>6.4833333333333343</v>
      </c>
      <c r="H2" s="13">
        <f>SUM(E2 - D2) * 24</f>
        <v>1.8499999999999988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(16th)</v>
      </c>
      <c r="B3" s="18">
        <v>0.28819444444444442</v>
      </c>
      <c r="C3" s="18">
        <v>0.50277777777777777</v>
      </c>
      <c r="D3" s="18">
        <v>0.53263888888888888</v>
      </c>
      <c r="E3" s="19">
        <v>0.66666666666666663</v>
      </c>
      <c r="F3" s="13"/>
      <c r="G3" s="12">
        <f>SUM(C3 - B3) * 24</f>
        <v>5.15</v>
      </c>
      <c r="H3" s="13">
        <f>SUM(E3 - D3) * 24</f>
        <v>3.2166666666666659</v>
      </c>
      <c r="I3" s="4">
        <f t="shared" ref="I3:I6" si="0">G3 + H3 + F3</f>
        <v>8.3666666666666671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-23.000000000000028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(17th)</v>
      </c>
      <c r="B4" s="18">
        <v>0.28611111111111109</v>
      </c>
      <c r="C4" s="18">
        <v>0.55972222222222223</v>
      </c>
      <c r="D4" s="18">
        <v>0.58750000000000002</v>
      </c>
      <c r="E4" s="19">
        <v>0.66666666666666663</v>
      </c>
      <c r="F4" s="20"/>
      <c r="G4" s="12">
        <f t="shared" ref="G4:G5" si="1">SUM(C4 - B4) * 24</f>
        <v>6.5666666666666673</v>
      </c>
      <c r="H4" s="13">
        <f t="shared" ref="H4:H6" si="2">SUM(E4 - D4) * 24</f>
        <v>1.8999999999999986</v>
      </c>
      <c r="I4" s="4">
        <f t="shared" si="0"/>
        <v>8.466666666666665</v>
      </c>
      <c r="J4" s="23">
        <f t="shared" ref="J4:J6" si="3">IF(AND(C4 &lt;&gt; "", D4 &lt;&gt; ""), (SUM(D4 - C4) * 1440), " - ")</f>
        <v>40.000000000000014</v>
      </c>
      <c r="K4" s="24">
        <f t="shared" ref="K4:K5" si="4">IF(AND((B4 &lt;&gt; ""), (C4 &lt;&gt; ""), (D4 &lt;&gt; ""), (E4 &lt;&gt; "")), IF((((8 - I4) * 60) + 1) &gt; 0, (((8 - I4) * 60) + 1), (((8 - I4) * 60) - 1)), "-")</f>
        <v>-28.999999999999901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(18th)</v>
      </c>
      <c r="B5" s="18">
        <v>0.28888888888888886</v>
      </c>
      <c r="C5" s="18">
        <v>0.54166666666666663</v>
      </c>
      <c r="D5" s="18">
        <v>0.57291666666666663</v>
      </c>
      <c r="E5" s="19">
        <v>0.6645833333333333</v>
      </c>
      <c r="F5" s="20"/>
      <c r="G5" s="12">
        <f t="shared" si="1"/>
        <v>6.0666666666666664</v>
      </c>
      <c r="H5" s="13">
        <f t="shared" si="2"/>
        <v>2.2000000000000002</v>
      </c>
      <c r="I5" s="4">
        <f t="shared" si="0"/>
        <v>8.2666666666666657</v>
      </c>
      <c r="J5" s="23">
        <f t="shared" si="3"/>
        <v>45</v>
      </c>
      <c r="K5" s="24">
        <f t="shared" si="4"/>
        <v>-16.999999999999943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(19th)</v>
      </c>
      <c r="B6" s="18">
        <v>0.28819444444444442</v>
      </c>
      <c r="C6" s="18">
        <v>0.52222222222222225</v>
      </c>
      <c r="D6" s="18">
        <v>0.55069444444444449</v>
      </c>
      <c r="E6" s="19">
        <v>0.66666666666666663</v>
      </c>
      <c r="F6" s="13"/>
      <c r="G6" s="12">
        <f>SUM(C6 - B6) * 24</f>
        <v>5.616666666666668</v>
      </c>
      <c r="H6" s="13">
        <f t="shared" si="2"/>
        <v>2.7833333333333314</v>
      </c>
      <c r="I6" s="4">
        <f t="shared" si="0"/>
        <v>8.3999999999999986</v>
      </c>
      <c r="J6" s="23">
        <f t="shared" si="3"/>
        <v>41.000000000000014</v>
      </c>
      <c r="K6" s="24">
        <f>IF(AND((B6 &lt;&gt; ""), (C6 &lt;&gt; ""), (D6 &lt;&gt; ""), (E6 &lt;&gt; "")), IF((((8 - I6) * 60) + 1) &gt; 0, (((8 - I6) * 60) + 1), (((8 - I6) * 60) - 1)), "-")</f>
        <v>-24.999999999999915</v>
      </c>
    </row>
    <row r="7" spans="1:12" ht="36.75" thickBot="1" x14ac:dyDescent="0.6">
      <c r="B7" s="36"/>
      <c r="H7" s="2" t="s">
        <v>10</v>
      </c>
      <c r="I7" s="5">
        <f>SUM(I2:I6)</f>
        <v>41.833333333333329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-1.8333333333333286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55" priority="4" operator="greaterThan">
      <formula>7.99999999</formula>
    </cfRule>
    <cfRule type="cellIs" dxfId="254" priority="5" operator="lessThan">
      <formula>8</formula>
    </cfRule>
  </conditionalFormatting>
  <conditionalFormatting sqref="I7">
    <cfRule type="cellIs" dxfId="253" priority="6" operator="lessThan">
      <formula>40</formula>
    </cfRule>
    <cfRule type="cellIs" dxfId="252" priority="7" operator="greaterThan">
      <formula>39.999999</formula>
    </cfRule>
  </conditionalFormatting>
  <conditionalFormatting sqref="K2:K6">
    <cfRule type="cellIs" dxfId="251" priority="1" operator="equal">
      <formula>"-"</formula>
    </cfRule>
    <cfRule type="cellIs" dxfId="250" priority="2" operator="greaterThan">
      <formula>0.1</formula>
    </cfRule>
    <cfRule type="cellIs" dxfId="249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C308-E83A-4918-9642-6D05F7980D36}">
  <sheetPr codeName="Sheet19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09/08/2025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(8th)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(9th)</v>
      </c>
      <c r="B3" s="18">
        <v>0.28819444444444442</v>
      </c>
      <c r="C3" s="18">
        <v>0.54027777777777775</v>
      </c>
      <c r="D3" s="18">
        <v>0.57222222222222219</v>
      </c>
      <c r="E3" s="19">
        <v>0.66666666666666663</v>
      </c>
      <c r="F3" s="13"/>
      <c r="G3" s="12">
        <f>SUM(C3 - B3) * 24</f>
        <v>6.05</v>
      </c>
      <c r="H3" s="13">
        <f>SUM(E3 - D3) * 24</f>
        <v>2.2666666666666666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(10th)</v>
      </c>
      <c r="B4" s="18">
        <v>0.28819444444444442</v>
      </c>
      <c r="C4" s="18">
        <v>0.51875000000000004</v>
      </c>
      <c r="D4" s="18">
        <v>0.54861111111111116</v>
      </c>
      <c r="E4" s="19">
        <v>0.66666666666666663</v>
      </c>
      <c r="F4" s="20"/>
      <c r="G4" s="12">
        <f t="shared" ref="G4:G5" si="1">SUM(C4 - B4) * 24</f>
        <v>5.533333333333335</v>
      </c>
      <c r="H4" s="13">
        <f t="shared" ref="H4:H6" si="2">SUM(E4 - D4) * 24</f>
        <v>2.8333333333333313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(11th)</v>
      </c>
      <c r="B5" s="18">
        <v>0.28819444444444442</v>
      </c>
      <c r="C5" s="18">
        <v>0.50555555555555554</v>
      </c>
      <c r="D5" s="18">
        <v>0.53402777777777777</v>
      </c>
      <c r="E5" s="19">
        <v>0.66666666666666663</v>
      </c>
      <c r="F5" s="20"/>
      <c r="G5" s="12">
        <f t="shared" si="1"/>
        <v>5.2166666666666668</v>
      </c>
      <c r="H5" s="13">
        <f t="shared" si="2"/>
        <v>3.1833333333333327</v>
      </c>
      <c r="I5" s="4">
        <f t="shared" si="0"/>
        <v>8.3999999999999986</v>
      </c>
      <c r="J5" s="23">
        <f t="shared" si="3"/>
        <v>41.000000000000014</v>
      </c>
      <c r="K5" s="24">
        <f t="shared" si="4"/>
        <v>-24.999999999999915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(12th)</v>
      </c>
      <c r="B6" s="18">
        <v>0.28819444444444442</v>
      </c>
      <c r="C6" s="18">
        <v>0.49930555555555556</v>
      </c>
      <c r="D6" s="18">
        <v>0.52847222222222223</v>
      </c>
      <c r="E6" s="19">
        <v>0.66666666666666663</v>
      </c>
      <c r="F6" s="13"/>
      <c r="G6" s="12">
        <f>SUM(C6 - B6) * 24</f>
        <v>5.0666666666666673</v>
      </c>
      <c r="H6" s="13">
        <f t="shared" si="2"/>
        <v>3.3166666666666655</v>
      </c>
      <c r="I6" s="4">
        <f t="shared" si="0"/>
        <v>8.3833333333333329</v>
      </c>
      <c r="J6" s="23">
        <f t="shared" si="3"/>
        <v>42.000000000000014</v>
      </c>
      <c r="K6" s="24">
        <f>IF(AND((B6 &lt;&gt; ""), (C6 &lt;&gt; ""), (D6 &lt;&gt; ""), (E6 &lt;&gt; "")), IF((((8 - I6) * 60) + 1) &gt; 0, (((8 - I6) * 60) + 1), (((8 - I6) * 60) - 1)), "-")</f>
        <v>-23.999999999999972</v>
      </c>
    </row>
    <row r="7" spans="1:12" ht="36.75" thickBot="1" x14ac:dyDescent="0.6">
      <c r="B7" s="36"/>
      <c r="H7" s="2" t="s">
        <v>10</v>
      </c>
      <c r="I7" s="5">
        <f>SUM(I2:I6)</f>
        <v>41.466666666666661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-1.4666666666666615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48" priority="4" operator="greaterThan">
      <formula>7.99999999</formula>
    </cfRule>
    <cfRule type="cellIs" dxfId="247" priority="5" operator="lessThan">
      <formula>8</formula>
    </cfRule>
  </conditionalFormatting>
  <conditionalFormatting sqref="I7">
    <cfRule type="cellIs" dxfId="246" priority="6" operator="lessThan">
      <formula>40</formula>
    </cfRule>
    <cfRule type="cellIs" dxfId="245" priority="7" operator="greaterThan">
      <formula>39.999999</formula>
    </cfRule>
  </conditionalFormatting>
  <conditionalFormatting sqref="K2:K6">
    <cfRule type="cellIs" dxfId="244" priority="1" operator="equal">
      <formula>"-"</formula>
    </cfRule>
    <cfRule type="cellIs" dxfId="243" priority="2" operator="greaterThan">
      <formula>0.1</formula>
    </cfRule>
    <cfRule type="cellIs" dxfId="242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BA44-EA77-455B-B693-27E5FA8B2B4B}">
  <sheetPr codeName="Sheet20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2" width="18" style="3" bestFit="1" customWidth="1"/>
    <col min="3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09/01/2025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IF(OR(AND(DAY(A1) &gt; 23, DAY(A1) &lt; 31), AND(DAY(A1) &gt; 3, DAY(A1) &lt; 21)), "th", LOOKUP(DAY(A1), {1,"st";2,"nd";3,"rd";21,"st";22,"nd";23,"rd";31,"st"})), ")")</f>
        <v>Mon (1st)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34" t="str">
        <f ca="1">_xlfn.CONCAT(TEXT(A1 + 1, "ddd"), " (", DAY(A1 + 1), IF(OR(AND(DAY(A1 + 1) &gt; 23, DAY(A1 + 1) &lt; 31), AND(DAY(A1 + 1) &gt; 3, DAY(A1 + 1) &lt; 21)), "th", LOOKUP(DAY(A1 + 1), {1,"st";2,"nd";3,"rd";21,"st";22,"nd";23,"rd";31,"st"})), ")")</f>
        <v>Tue (2nd)</v>
      </c>
      <c r="B3" s="18">
        <v>0.28819444444444442</v>
      </c>
      <c r="C3" s="18">
        <v>0.48333333333333334</v>
      </c>
      <c r="D3" s="37">
        <v>0.51249999999999996</v>
      </c>
      <c r="E3" s="19">
        <v>0.66666666666666663</v>
      </c>
      <c r="F3" s="13"/>
      <c r="G3" s="12">
        <f>SUM(C3 - B3) * 24</f>
        <v>4.6833333333333336</v>
      </c>
      <c r="H3" s="13">
        <f>SUM(E3 - D3) * 24</f>
        <v>3.7</v>
      </c>
      <c r="I3" s="4">
        <f t="shared" ref="I3:I6" si="0">G3 + H3 + F3</f>
        <v>8.3833333333333329</v>
      </c>
      <c r="J3" s="23">
        <f>IF(AND(C3 &lt;&gt; "", D3 &lt;&gt; ""), (SUM(D3 - C3) * 1440), " - ")</f>
        <v>41.999999999999929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tr">
        <f ca="1">_xlfn.CONCAT(TEXT(A1 + 2, "ddd"), " (", DAY(A1 + 2), IF(OR(AND(DAY(A1 + 2) &gt; 23, DAY(A1 + 2) &lt; 31), AND(DAY(A1 + 2) &gt; 3, DAY(A1 + 2) &lt; 21)), "th", LOOKUP(DAY(A1 + 2), {1,"st";2,"nd";3,"rd";21,"st";22,"nd";23,"rd";31,"st"})), ")")</f>
        <v>Wed (3rd)</v>
      </c>
      <c r="B4" s="18">
        <v>0.28819444444444442</v>
      </c>
      <c r="C4" s="18">
        <v>0.50208333333333333</v>
      </c>
      <c r="D4" s="18">
        <v>0.53194444444444444</v>
      </c>
      <c r="E4" s="19">
        <v>0.66666666666666663</v>
      </c>
      <c r="F4" s="20"/>
      <c r="G4" s="12">
        <f t="shared" ref="G4:G5" si="1">SUM(C4 - B4) * 24</f>
        <v>5.1333333333333337</v>
      </c>
      <c r="H4" s="13">
        <f t="shared" ref="H4:H6" si="2">SUM(E4 - D4) * 24</f>
        <v>3.2333333333333325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34" t="str">
        <f ca="1">_xlfn.CONCAT(TEXT(A1 + 3, "ddd"), " (", DAY(A1 + 3), IF(OR(AND(DAY(A1 + 3) &gt; 23, DAY(A1 + 3) &lt; 31), AND(DAY(A1 + 3) &gt; 3, DAY(A1 + 3) &lt; 21)), "th", LOOKUP(DAY(A1 + 3), {1,"st";2,"nd";3,"rd";21,"st";22,"nd";23,"rd";31,"st"})), ")")</f>
        <v>Thu (4th)</v>
      </c>
      <c r="B5" s="18">
        <v>0.28819444444444442</v>
      </c>
      <c r="C5" s="18">
        <v>0.49722222222222223</v>
      </c>
      <c r="D5" s="18">
        <v>0.52916666666666667</v>
      </c>
      <c r="E5" s="19">
        <v>0.66666666666666663</v>
      </c>
      <c r="F5" s="20"/>
      <c r="G5" s="12">
        <f t="shared" si="1"/>
        <v>5.0166666666666675</v>
      </c>
      <c r="H5" s="13">
        <f t="shared" si="2"/>
        <v>3.2999999999999989</v>
      </c>
      <c r="I5" s="4">
        <f t="shared" si="0"/>
        <v>8.3166666666666664</v>
      </c>
      <c r="J5" s="23">
        <f t="shared" si="3"/>
        <v>46</v>
      </c>
      <c r="K5" s="24">
        <f t="shared" si="4"/>
        <v>-19.999999999999986</v>
      </c>
    </row>
    <row r="6" spans="1:12" ht="24" thickBot="1" x14ac:dyDescent="0.4">
      <c r="A6" s="34" t="str">
        <f ca="1">_xlfn.CONCAT(TEXT(A1 + 4, "ddd"), " (", DAY(A1 + 4), IF(OR(AND(DAY(A1 + 4) &gt; 23, DAY(A1 + 4) &lt; 31), AND(DAY(A1 + 4) &gt; 3, DAY(A1 + 4) &lt; 21)), "th", LOOKUP(DAY(A1 + 4), {1,"st";2,"nd";3,"rd";21,"st";22,"nd";23,"rd";31,"st"})), ")")</f>
        <v>Fri (5th)</v>
      </c>
      <c r="B6" s="18">
        <v>0.28819444444444442</v>
      </c>
      <c r="C6" s="18">
        <v>0.50208333333333333</v>
      </c>
      <c r="D6" s="18">
        <v>0.53263888888888888</v>
      </c>
      <c r="E6" s="19">
        <v>0.66666666666666663</v>
      </c>
      <c r="F6" s="13"/>
      <c r="G6" s="12">
        <f>SUM(C6 - B6) * 24</f>
        <v>5.1333333333333337</v>
      </c>
      <c r="H6" s="13">
        <f t="shared" si="2"/>
        <v>3.2166666666666659</v>
      </c>
      <c r="I6" s="4">
        <f t="shared" si="0"/>
        <v>8.35</v>
      </c>
      <c r="J6" s="23">
        <f t="shared" si="3"/>
        <v>44</v>
      </c>
      <c r="K6" s="24">
        <f>IF(AND((B6 &lt;&gt; ""), (C6 &lt;&gt; ""), (D6 &lt;&gt; ""), (E6 &lt;&gt; "")), IF((((8 - I6) * 60) + 1) &gt; 0, (((8 - I6) * 60) + 1), (((8 - I6) * 60) - 1)), "-")</f>
        <v>-21.999999999999979</v>
      </c>
    </row>
    <row r="7" spans="1:12" ht="36.75" thickBot="1" x14ac:dyDescent="0.6">
      <c r="B7" s="36"/>
      <c r="H7" s="2" t="s">
        <v>10</v>
      </c>
      <c r="I7" s="5">
        <f>SUM(I2:I6)</f>
        <v>41.416666666666664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-1.4166666666666643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41" priority="4" operator="greaterThan">
      <formula>7.99999999</formula>
    </cfRule>
    <cfRule type="cellIs" dxfId="240" priority="5" operator="lessThan">
      <formula>8</formula>
    </cfRule>
  </conditionalFormatting>
  <conditionalFormatting sqref="I7">
    <cfRule type="cellIs" dxfId="239" priority="6" operator="lessThan">
      <formula>40</formula>
    </cfRule>
    <cfRule type="cellIs" dxfId="238" priority="7" operator="greaterThan">
      <formula>39.999999</formula>
    </cfRule>
  </conditionalFormatting>
  <conditionalFormatting sqref="K2:K6">
    <cfRule type="cellIs" dxfId="237" priority="1" operator="equal">
      <formula>"-"</formula>
    </cfRule>
    <cfRule type="cellIs" dxfId="236" priority="2" operator="greaterThan">
      <formula>0.1</formula>
    </cfRule>
    <cfRule type="cellIs" dxfId="235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78322-FE86-412F-9B99-DFCC753071ED}">
  <sheetPr codeName="Sheet21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08/25/2025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LOOKUP(DAY(A1), {1,"st";2,"nd";3,"rd";4,"th";5,"th";6,"th";7,"th";8,"th";9,"th";10,"th";11,"th";12,"th";13,"th";14,"th";15,"th";16,"th";17,"th";18,"th";19,"th";20,"th";21,"st";22,"nd";23,"rd";24,"th";25,"th";26,"th";27,"th";28,"th";29,"th";30,"th";31,"st"}), ")")</f>
        <v>Mon (25th)</v>
      </c>
      <c r="B2" s="18">
        <v>0.28819444444444442</v>
      </c>
      <c r="C2" s="18">
        <v>0.58263888888888893</v>
      </c>
      <c r="D2" s="18">
        <v>0.61250000000000004</v>
      </c>
      <c r="E2" s="19">
        <v>0.66666666666666663</v>
      </c>
      <c r="F2" s="12"/>
      <c r="G2" s="12">
        <f>SUM(C2 - B2) * 24</f>
        <v>7.0666666666666682</v>
      </c>
      <c r="H2" s="13">
        <f>SUM(E2 - D2) * 24</f>
        <v>1.299999999999998</v>
      </c>
      <c r="I2" s="4">
        <f>G2 + H2 + F2</f>
        <v>8.3666666666666671</v>
      </c>
      <c r="J2" s="23">
        <f>IF(AND(C2 &lt;&gt; "", D2 &lt;&gt; ""), (SUM(D2 - C2) * 1440), " - ")</f>
        <v>43.000000000000007</v>
      </c>
      <c r="K2" s="24">
        <f>IF(AND((B2 &lt;&gt; ""), (C2 &lt;&gt; ""), (D2 &lt;&gt; ""), (E2 &lt;&gt; "")), IF((((8 - I2) * 60) + 1) &gt; 0, (((8 - I2) * 60) + 1), (((8 - I2) * 60) - 1)), "-")</f>
        <v>-23.000000000000028</v>
      </c>
      <c r="L2" s="33"/>
    </row>
    <row r="3" spans="1:12" x14ac:dyDescent="0.35">
      <c r="A3" s="34" t="str">
        <f ca="1">_xlfn.CONCAT(TEXT(A1 + 1, "ddd"), " (", DAY(A1 + 1), LOOKUP(DAY(A1 + 1), {1,"st";2,"nd";3,"rd";4,"th";5,"th";6,"th";7,"th";8,"th";9,"th";10,"th";11,"th";12,"th";13,"th";14,"th";15,"th";16,"th";17,"th";18,"th";19,"th";20,"th";21,"st";22,"nd";23,"rd";24,"th";25,"th";26,"th";27,"th";28,"th";29,"th";30,"th";31,"st"}), ")")</f>
        <v>Tue (26th)</v>
      </c>
      <c r="B3" s="18">
        <v>0.28819444444444442</v>
      </c>
      <c r="C3" s="18">
        <v>0.52222222222222225</v>
      </c>
      <c r="D3" s="18">
        <v>0.55138888888888893</v>
      </c>
      <c r="E3" s="19">
        <v>0.66666666666666663</v>
      </c>
      <c r="F3" s="13"/>
      <c r="G3" s="12">
        <f>SUM(C3 - B3) * 24</f>
        <v>5.616666666666668</v>
      </c>
      <c r="H3" s="13">
        <f>SUM(E3 - D3) * 24</f>
        <v>2.7666666666666648</v>
      </c>
      <c r="I3" s="4">
        <f t="shared" ref="I3:I6" si="0">G3 + H3 + F3</f>
        <v>8.3833333333333329</v>
      </c>
      <c r="J3" s="23">
        <f>IF(AND(C3 &lt;&gt; "", D3 &lt;&gt; ""), (SUM(D3 - C3) * 1440), " - ")</f>
        <v>42.000000000000014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tr">
        <f ca="1">_xlfn.CONCAT(TEXT(A1 + 2, "ddd"), " (", DAY(A1 + 2), LOOKUP(DAY(A1 + 2), {1,"st";2,"nd";3,"rd";4,"th";5,"th";6,"th";7,"th";8,"th";9,"th";10,"th";11,"th";12,"th";13,"th";14,"th";15,"th";16,"th";17,"th";18,"th";19,"th";20,"th";21,"st";22,"nd";23,"rd";24,"th";25,"th";26,"th";27,"th";28,"th";29,"th";30,"th";31,"st"}), ")")</f>
        <v>Wed (27th)</v>
      </c>
      <c r="B4" s="18">
        <v>0.28819444444444442</v>
      </c>
      <c r="C4" s="18">
        <v>0.50277777777777777</v>
      </c>
      <c r="D4" s="18">
        <v>0.53263888888888888</v>
      </c>
      <c r="E4" s="19">
        <v>0.66666666666666663</v>
      </c>
      <c r="F4" s="20"/>
      <c r="G4" s="12">
        <f t="shared" ref="G4:G5" si="1">SUM(C4 - B4) * 24</f>
        <v>5.15</v>
      </c>
      <c r="H4" s="13">
        <f t="shared" ref="H4:H6" si="2">SUM(E4 - D4) * 24</f>
        <v>3.2166666666666659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34" t="str">
        <f ca="1">_xlfn.CONCAT(TEXT(A1 + 3, "ddd"), " (", DAY(A1 + 3), LOOKUP(DAY(A1 + 3), {1,"st";2,"nd";3,"rd";4,"th";5,"th";6,"th";7,"th";8,"th";9,"th";10,"th";11,"th";12,"th";13,"th";14,"th";15,"th";16,"th";17,"th";18,"th";19,"th";20,"th";21,"st";22,"nd";23,"rd";24,"th";25,"th";26,"th";27,"th";28,"th";29,"th";30,"th";31,"st"}), ")")</f>
        <v>Thu (28th)</v>
      </c>
      <c r="B5" s="18">
        <v>0.28819444444444442</v>
      </c>
      <c r="C5" s="18">
        <v>0.54097222222222219</v>
      </c>
      <c r="D5" s="18">
        <v>0.57013888888888886</v>
      </c>
      <c r="E5" s="19">
        <v>0.66736111111111107</v>
      </c>
      <c r="F5" s="20"/>
      <c r="G5" s="12">
        <f t="shared" si="1"/>
        <v>6.0666666666666664</v>
      </c>
      <c r="H5" s="13">
        <f t="shared" si="2"/>
        <v>2.333333333333333</v>
      </c>
      <c r="I5" s="4">
        <f t="shared" si="0"/>
        <v>8.3999999999999986</v>
      </c>
      <c r="J5" s="23">
        <f t="shared" si="3"/>
        <v>42.000000000000014</v>
      </c>
      <c r="K5" s="24">
        <f t="shared" si="4"/>
        <v>-24.999999999999915</v>
      </c>
    </row>
    <row r="6" spans="1:12" ht="24" thickBot="1" x14ac:dyDescent="0.4">
      <c r="A6" s="34" t="str">
        <f ca="1">_xlfn.CONCAT(TEXT(A1 + 4, "ddd"), " (", DAY(A1 + 4), LOOKUP(DAY(A1 + 4), {1,"st";2,"nd";3,"rd";4,"th";5,"th";6,"th";7,"th";8,"th";9,"th";10,"th";11,"th";12,"th";13,"th";14,"th";15,"th";16,"th";17,"th";18,"th";19,"th";20,"th";21,"st";22,"nd";23,"rd";24,"th";25,"th";26,"th";27,"th";28,"th";29,"th";30,"th";31,"st"}), ")")</f>
        <v>Fri (29th)</v>
      </c>
      <c r="B6" s="18">
        <v>0.28819444444444442</v>
      </c>
      <c r="C6" s="18">
        <v>0.45833333333333331</v>
      </c>
      <c r="D6" s="31"/>
      <c r="E6" s="32"/>
      <c r="F6" s="13">
        <v>4</v>
      </c>
      <c r="G6" s="12">
        <f>SUM(C6 - B6) * 24</f>
        <v>4.0833333333333339</v>
      </c>
      <c r="H6" s="13">
        <f t="shared" si="2"/>
        <v>0</v>
      </c>
      <c r="I6" s="4">
        <f t="shared" si="0"/>
        <v>8.0833333333333339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8"/>
      <c r="H7" s="2" t="s">
        <v>10</v>
      </c>
      <c r="I7" s="5">
        <f>SUM(I2:I6)</f>
        <v>41.6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-1.6000000000000014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34" priority="4" operator="greaterThan">
      <formula>7.99999999</formula>
    </cfRule>
    <cfRule type="cellIs" dxfId="233" priority="5" operator="lessThan">
      <formula>8</formula>
    </cfRule>
  </conditionalFormatting>
  <conditionalFormatting sqref="I7">
    <cfRule type="cellIs" dxfId="232" priority="6" operator="lessThan">
      <formula>40</formula>
    </cfRule>
    <cfRule type="cellIs" dxfId="231" priority="7" operator="greaterThan">
      <formula>39.999999</formula>
    </cfRule>
  </conditionalFormatting>
  <conditionalFormatting sqref="K2:K6">
    <cfRule type="cellIs" dxfId="230" priority="1" operator="equal">
      <formula>"-"</formula>
    </cfRule>
    <cfRule type="cellIs" dxfId="229" priority="2" operator="greaterThan">
      <formula>0.1</formula>
    </cfRule>
    <cfRule type="cellIs" dxfId="228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BC70-505F-4A9D-A892-724A5DEC38AD}">
  <sheetPr codeName="Sheet22"/>
  <dimension ref="A1:L26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08/18/2025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LOOKUP(DAY(A1), {1,"st";2,"nd";3,"rd";4,"th";5,"th";6,"th";7,"th";8,"th";9,"th";10,"th";11,"th";12,"th";13,"th";14,"th";15,"th";16,"th";17,"th";18,"th";19,"th";20,"th";21,"st";22,"nd";23,"rd";24,"th";25,"th";26,"th";27,"th";28,"th";29,"th";30,"th";31,"st"}), ")")</f>
        <v>Mon (18th)</v>
      </c>
      <c r="B2" s="18">
        <v>0.28819444444444442</v>
      </c>
      <c r="C2" s="18">
        <v>0.50694444444444442</v>
      </c>
      <c r="D2" s="18">
        <v>0.53541666666666665</v>
      </c>
      <c r="E2" s="19">
        <v>0.66666666666666663</v>
      </c>
      <c r="F2" s="12"/>
      <c r="G2" s="12">
        <f>SUM(C2 - B2) * 24</f>
        <v>5.25</v>
      </c>
      <c r="H2" s="13">
        <f>SUM(E2 - D2) * 24</f>
        <v>3.1499999999999995</v>
      </c>
      <c r="I2" s="4">
        <f>G2 + H2 + F2</f>
        <v>8.3999999999999986</v>
      </c>
      <c r="J2" s="23">
        <f>IF(AND(C2 &lt;&gt; "", D2 &lt;&gt; ""), (SUM(D2 - C2) * 1440), " - ")</f>
        <v>41.000000000000014</v>
      </c>
      <c r="K2" s="24">
        <f>IF(AND((B2 &lt;&gt; ""), (C2 &lt;&gt; ""), (D2 &lt;&gt; ""), (E2 &lt;&gt; "")), IF((((8 - I2) * 60) + 1) &gt; 0, (((8 - I2) * 60) + 1), (((8 - I2) * 60) - 1)), "-")</f>
        <v>-24.999999999999915</v>
      </c>
      <c r="L2" s="33"/>
    </row>
    <row r="3" spans="1:12" x14ac:dyDescent="0.35">
      <c r="A3" s="34" t="str">
        <f ca="1">_xlfn.CONCAT(TEXT(A1 + 1, "ddd"), " (", DAY(A1 + 1), LOOKUP(DAY(A1 + 1), {1,"st";2,"nd";3,"rd";4,"th";5,"th";6,"th";7,"th";8,"th";9,"th";10,"th";11,"th";12,"th";13,"th";14,"th";15,"th";16,"th";17,"th";18,"th";19,"th";20,"th";21,"st";22,"nd";23,"rd";24,"th";25,"th";26,"th";27,"th";28,"th";29,"th";30,"th";31,"st"}), ")")</f>
        <v>Tue (19th)</v>
      </c>
      <c r="B3" s="18">
        <v>0.28472222222222221</v>
      </c>
      <c r="C3" s="18">
        <v>0.47430555555555554</v>
      </c>
      <c r="D3" s="18">
        <v>0.51458333333333328</v>
      </c>
      <c r="E3" s="19">
        <v>0.65277777777777779</v>
      </c>
      <c r="F3" s="13"/>
      <c r="G3" s="12">
        <f>SUM(C3 - B3) * 24</f>
        <v>4.55</v>
      </c>
      <c r="H3" s="13">
        <f>SUM(E3 - D3) * 24</f>
        <v>3.3166666666666682</v>
      </c>
      <c r="I3" s="4">
        <f t="shared" ref="I3:I7" si="0">G3 + H3 + F3</f>
        <v>7.866666666666668</v>
      </c>
      <c r="J3" s="23">
        <f>IF(AND(C3 &lt;&gt; "", D3 &lt;&gt; ""), (SUM(D3 - C3) * 1440), " - ")</f>
        <v>57.999999999999957</v>
      </c>
      <c r="K3" s="24">
        <f>IF(AND((B3 &lt;&gt; ""), (C3 &lt;&gt; ""), (D3 &lt;&gt; ""), (E3 &lt;&gt; "")), IF((((8 - I3) * 60) + 1) &gt; 0, (((8 - I3) * 60) + 1), (((8 - I3) * 60) - 1)), "-")</f>
        <v>8.9999999999999183</v>
      </c>
    </row>
    <row r="4" spans="1:12" x14ac:dyDescent="0.35">
      <c r="A4" s="34"/>
      <c r="B4" s="18">
        <v>0.73263888888888884</v>
      </c>
      <c r="C4" s="18"/>
      <c r="D4" s="18"/>
      <c r="E4" s="19">
        <v>0.73888888888888893</v>
      </c>
      <c r="F4" s="20"/>
      <c r="G4" s="12">
        <f>SUM(C4 - B4) * 24</f>
        <v>-17.583333333333332</v>
      </c>
      <c r="H4" s="13">
        <f>SUM(E4 - D4) * 24</f>
        <v>17.733333333333334</v>
      </c>
      <c r="I4" s="4">
        <f t="shared" ref="I4" si="1">G4 + H4 + F4</f>
        <v>0.15000000000000213</v>
      </c>
      <c r="J4" s="23" t="str">
        <f>IF(AND(C4 &lt;&gt; "", D4 &lt;&gt; ""), (SUM(D4 - C4) * 1440), " - ")</f>
        <v xml:space="preserve"> - </v>
      </c>
      <c r="K4" s="24"/>
    </row>
    <row r="5" spans="1:12" x14ac:dyDescent="0.35">
      <c r="A5" s="34" t="str">
        <f ca="1">_xlfn.CONCAT(TEXT(A1 + 2, "ddd"), " (", DAY(A1 + 2), LOOKUP(DAY(A1 + 2), {1,"st";2,"nd";3,"rd";4,"th";5,"th";6,"th";7,"th";8,"th";9,"th";10,"th";11,"th";12,"th";13,"th";14,"th";15,"th";16,"th";17,"th";18,"th";19,"th";20,"th";21,"st";22,"nd";23,"rd";24,"th";25,"th";26,"th";27,"th";28,"th";29,"th";30,"th";31,"st"}), ")")</f>
        <v>Wed (20th)</v>
      </c>
      <c r="B5" s="18">
        <v>0.5</v>
      </c>
      <c r="C5" s="18"/>
      <c r="D5" s="18"/>
      <c r="E5" s="19">
        <v>0.66666666666666663</v>
      </c>
      <c r="F5" s="20">
        <v>4</v>
      </c>
      <c r="G5" s="12">
        <f t="shared" ref="G5:G6" si="2">SUM(C5 - B5) * 24</f>
        <v>-12</v>
      </c>
      <c r="H5" s="13">
        <f t="shared" ref="H5:H7" si="3">SUM(E5 - D5) * 24</f>
        <v>16</v>
      </c>
      <c r="I5" s="4">
        <f t="shared" si="0"/>
        <v>8</v>
      </c>
      <c r="J5" s="23" t="str">
        <f t="shared" ref="J5:J7" si="4">IF(AND(C5 &lt;&gt; "", D5 &lt;&gt; ""), (SUM(D5 - C5) * 1440), " - ")</f>
        <v xml:space="preserve"> - </v>
      </c>
      <c r="K5" s="24" t="str">
        <f t="shared" ref="K5:K6" si="5">IF(AND((B5 &lt;&gt; ""), (C5 &lt;&gt; ""), (D5 &lt;&gt; ""), (E5 &lt;&gt; "")), IF((((8 - I5) * 60) + 1) &gt; 0, (((8 - I5) * 60) + 1), (((8 - I5) * 60) - 1)), "-")</f>
        <v>-</v>
      </c>
    </row>
    <row r="6" spans="1:12" x14ac:dyDescent="0.35">
      <c r="A6" s="34" t="str">
        <f ca="1">_xlfn.CONCAT(TEXT(A1 + 3, "ddd"), " (", DAY(A1 + 3), LOOKUP(DAY(A1 + 3), {1,"st";2,"nd";3,"rd";4,"th";5,"th";6,"th";7,"th";8,"th";9,"th";10,"th";11,"th";12,"th";13,"th";14,"th";15,"th";16,"th";17,"th";18,"th";19,"th";20,"th";21,"st";22,"nd";23,"rd";24,"th";25,"th";26,"th";27,"th";28,"th";29,"th";30,"th";31,"st"}), ")")</f>
        <v>Thu (21st)</v>
      </c>
      <c r="B6" s="18">
        <v>0.28819444444444442</v>
      </c>
      <c r="C6" s="18">
        <v>0.58194444444444449</v>
      </c>
      <c r="D6" s="18">
        <v>0.61250000000000004</v>
      </c>
      <c r="E6" s="19">
        <v>0.66666666666666663</v>
      </c>
      <c r="F6" s="20"/>
      <c r="G6" s="12">
        <f t="shared" si="2"/>
        <v>7.0500000000000016</v>
      </c>
      <c r="H6" s="13">
        <f t="shared" si="3"/>
        <v>1.299999999999998</v>
      </c>
      <c r="I6" s="4">
        <f t="shared" si="0"/>
        <v>8.35</v>
      </c>
      <c r="J6" s="23">
        <f t="shared" si="4"/>
        <v>44</v>
      </c>
      <c r="K6" s="24">
        <f t="shared" si="5"/>
        <v>-21.999999999999979</v>
      </c>
    </row>
    <row r="7" spans="1:12" ht="24" thickBot="1" x14ac:dyDescent="0.4">
      <c r="A7" s="34" t="str">
        <f ca="1">_xlfn.CONCAT(TEXT(A1 + 4, "ddd"), " (", DAY(A1 + 4), LOOKUP(DAY(A1 + 4), {1,"st";2,"nd";3,"rd";4,"th";5,"th";6,"th";7,"th";8,"th";9,"th";10,"th";11,"th";12,"th";13,"th";14,"th";15,"th";16,"th";17,"th";18,"th";19,"th";20,"th";21,"st";22,"nd";23,"rd";24,"th";25,"th";26,"th";27,"th";28,"th";29,"th";30,"th";31,"st"}), ")")</f>
        <v>Fri (22nd)</v>
      </c>
      <c r="B7" s="18">
        <v>0.28819444444444442</v>
      </c>
      <c r="C7" s="18">
        <v>0.52777777777777779</v>
      </c>
      <c r="D7" s="18">
        <v>0.55555555555555558</v>
      </c>
      <c r="E7" s="19">
        <v>0.66736111111111107</v>
      </c>
      <c r="F7" s="13"/>
      <c r="G7" s="12">
        <f>SUM(C7 - B7) * 24</f>
        <v>5.7500000000000009</v>
      </c>
      <c r="H7" s="13">
        <f t="shared" si="3"/>
        <v>2.6833333333333318</v>
      </c>
      <c r="I7" s="4">
        <f t="shared" si="0"/>
        <v>8.4333333333333336</v>
      </c>
      <c r="J7" s="23">
        <f t="shared" si="4"/>
        <v>40.000000000000014</v>
      </c>
      <c r="K7" s="24">
        <f>IF(AND((B7 &lt;&gt; ""), (C7 &lt;&gt; ""), (D7 &lt;&gt; ""), (E7 &lt;&gt; "")), IF((((8 - I7) * 60) + 1) &gt; 0, (((8 - I7) * 60) + 1), (((8 - I7) * 60) - 1)), "-")</f>
        <v>-27.000000000000014</v>
      </c>
    </row>
    <row r="8" spans="1:12" ht="36.75" thickBot="1" x14ac:dyDescent="0.6">
      <c r="B8" s="8"/>
      <c r="H8" s="2" t="s">
        <v>10</v>
      </c>
      <c r="I8" s="5">
        <f>SUM(I2:I7)</f>
        <v>41.2</v>
      </c>
    </row>
    <row r="9" spans="1:12" ht="24" thickBot="1" x14ac:dyDescent="0.4"/>
    <row r="10" spans="1:12" ht="24" thickBot="1" x14ac:dyDescent="0.4">
      <c r="B10" s="36"/>
      <c r="F10" s="30"/>
      <c r="H10" s="6" t="s">
        <v>11</v>
      </c>
      <c r="I10" s="7">
        <f>40-I8</f>
        <v>-1.2000000000000028</v>
      </c>
      <c r="J10" s="9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  <row r="26" spans="10:11" x14ac:dyDescent="0.35">
      <c r="J26" s="3"/>
      <c r="K26" s="3"/>
    </row>
  </sheetData>
  <conditionalFormatting sqref="I2:I7">
    <cfRule type="cellIs" dxfId="227" priority="4" operator="greaterThan">
      <formula>7.99999999</formula>
    </cfRule>
    <cfRule type="cellIs" dxfId="226" priority="5" operator="lessThan">
      <formula>8</formula>
    </cfRule>
  </conditionalFormatting>
  <conditionalFormatting sqref="I8">
    <cfRule type="cellIs" dxfId="225" priority="6" operator="lessThan">
      <formula>40</formula>
    </cfRule>
    <cfRule type="cellIs" dxfId="224" priority="7" operator="greaterThan">
      <formula>39.999999</formula>
    </cfRule>
  </conditionalFormatting>
  <conditionalFormatting sqref="K2:K7">
    <cfRule type="cellIs" dxfId="223" priority="1" operator="equal">
      <formula>"-"</formula>
    </cfRule>
    <cfRule type="cellIs" dxfId="222" priority="2" operator="greaterThan">
      <formula>0.1</formula>
    </cfRule>
    <cfRule type="cellIs" dxfId="22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F65B-8057-4226-91A9-CDC9655DB5B5}">
  <sheetPr codeName="Sheet23"/>
  <dimension ref="A1:L25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08/11/2025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LOOKUP(DAY(A1), {1,"st";2,"nd";3,"rd";4,"th";5,"th";6,"th";7,"th";8,"th";9,"th";10,"th";11,"th";12,"th";13,"th";14,"th";15,"th";16,"th";17,"th";18,"th";19,"th";20,"th";21,"st";22,"nd";23,"rd";24,"th";25,"th";26,"th";27,"th";28,"th";29,"th";30,"th";31,"st"}), ")")</f>
        <v>Mon (11th)</v>
      </c>
      <c r="B2" s="18">
        <v>0.39583333333333331</v>
      </c>
      <c r="C2" s="18"/>
      <c r="D2" s="18"/>
      <c r="E2" s="19">
        <v>0.58333333333333337</v>
      </c>
      <c r="F2" s="12">
        <f>3+1.5</f>
        <v>4.5</v>
      </c>
      <c r="G2" s="12">
        <f>SUM(C2 - B2) * 24</f>
        <v>-9.5</v>
      </c>
      <c r="H2" s="13">
        <f>SUM(E2 - D2) * 24</f>
        <v>14</v>
      </c>
      <c r="I2" s="4">
        <f>G2 + H2 + F2</f>
        <v>9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34" t="str">
        <f ca="1">_xlfn.CONCAT(TEXT(A1 + 1, "ddd"), " (", DAY(A1 + 1), LOOKUP(DAY(A1 + 1), {1,"st";2,"nd";3,"rd";4,"th";5,"th";6,"th";7,"th";8,"th";9,"th";10,"th";11,"th";12,"th";13,"th";14,"th";15,"th";16,"th";17,"th";18,"th";19,"th";20,"th";21,"st";22,"nd";23,"rd";24,"th";25,"th";26,"th";27,"th";28,"th";29,"th";30,"th";31,"st"}), ")")</f>
        <v>Tue (12th)</v>
      </c>
      <c r="B3" s="18">
        <v>0.28819444444444442</v>
      </c>
      <c r="C3" s="18">
        <v>0.48055555555555557</v>
      </c>
      <c r="D3" s="18">
        <v>0.51180555555555551</v>
      </c>
      <c r="E3" s="19">
        <v>0.54166666666666663</v>
      </c>
      <c r="F3" s="13">
        <v>3</v>
      </c>
      <c r="G3" s="12">
        <f>SUM(C3 - B3) * 24</f>
        <v>4.6166666666666671</v>
      </c>
      <c r="H3" s="13">
        <f>SUM(E3 - D3) * 24</f>
        <v>0.71666666666666679</v>
      </c>
      <c r="I3" s="4">
        <f t="shared" ref="I3:I6" si="0">G3 + H3 + F3</f>
        <v>8.3333333333333339</v>
      </c>
      <c r="J3" s="23">
        <f>IF(AND(C3 &lt;&gt; "", D3 &lt;&gt; ""), (SUM(D3 - C3) * 1440), " - ")</f>
        <v>44.999999999999922</v>
      </c>
      <c r="K3" s="24">
        <f>IF(AND((B3 &lt;&gt; ""), (C3 &lt;&gt; ""), (D3 &lt;&gt; ""), (E3 &lt;&gt; "")), IF((((8 - I3) * 60) + 1) &gt; 0, (((8 - I3) * 60) + 1), (((8 - I3) * 60) - 1)), "-")</f>
        <v>-21.000000000000036</v>
      </c>
    </row>
    <row r="4" spans="1:12" x14ac:dyDescent="0.35">
      <c r="A4" s="34" t="str">
        <f ca="1">_xlfn.CONCAT(TEXT(A1 + 2, "ddd"), " (", DAY(A1 + 2), LOOKUP(DAY(A1 + 2), {1,"st";2,"nd";3,"rd";4,"th";5,"th";6,"th";7,"th";8,"th";9,"th";10,"th";11,"th";12,"th";13,"th";14,"th";15,"th";16,"th";17,"th";18,"th";19,"th";20,"th";21,"st";22,"nd";23,"rd";24,"th";25,"th";26,"th";27,"th";28,"th";29,"th";30,"th";31,"st"}), ")")</f>
        <v>Wed (13th)</v>
      </c>
      <c r="B4" s="18">
        <v>0.28819444444444442</v>
      </c>
      <c r="C4" s="18">
        <v>0.49513888888888891</v>
      </c>
      <c r="D4" s="18">
        <v>0.52500000000000002</v>
      </c>
      <c r="E4" s="19">
        <v>0.54166666666666663</v>
      </c>
      <c r="F4" s="20">
        <v>3</v>
      </c>
      <c r="G4" s="12">
        <f t="shared" ref="G4:G5" si="1">SUM(C4 - B4) * 24</f>
        <v>4.9666666666666677</v>
      </c>
      <c r="H4" s="13">
        <f t="shared" ref="H4:H6" si="2">SUM(E4 - D4) * 24</f>
        <v>0.39999999999999858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34" t="str">
        <f ca="1">_xlfn.CONCAT(TEXT(A1 + 3, "ddd"), " (", DAY(A1 + 3), LOOKUP(DAY(A1 + 3), {1,"st";2,"nd";3,"rd";4,"th";5,"th";6,"th";7,"th";8,"th";9,"th";10,"th";11,"th";12,"th";13,"th";14,"th";15,"th";16,"th";17,"th";18,"th";19,"th";20,"th";21,"st";22,"nd";23,"rd";24,"th";25,"th";26,"th";27,"th";28,"th";29,"th";30,"th";31,"st"}), ")")</f>
        <v>Thu (14th)</v>
      </c>
      <c r="B5" s="18">
        <v>0.28819444444444442</v>
      </c>
      <c r="C5" s="18">
        <v>0.47847222222222224</v>
      </c>
      <c r="D5" s="18">
        <v>0.51944444444444449</v>
      </c>
      <c r="E5" s="19">
        <v>0.54166666666666663</v>
      </c>
      <c r="F5" s="20">
        <v>3</v>
      </c>
      <c r="G5" s="12">
        <f t="shared" si="1"/>
        <v>4.5666666666666682</v>
      </c>
      <c r="H5" s="13">
        <f t="shared" si="2"/>
        <v>0.53333333333333144</v>
      </c>
      <c r="I5" s="4">
        <f t="shared" si="0"/>
        <v>8.1</v>
      </c>
      <c r="J5" s="23">
        <f t="shared" si="3"/>
        <v>59.000000000000028</v>
      </c>
      <c r="K5" s="24">
        <f t="shared" si="4"/>
        <v>-6.9999999999999787</v>
      </c>
    </row>
    <row r="6" spans="1:12" ht="24" thickBot="1" x14ac:dyDescent="0.4">
      <c r="A6" s="34" t="str">
        <f ca="1">_xlfn.CONCAT(TEXT(A1 + 4, "ddd"), " (", DAY(A1 + 4), LOOKUP(DAY(A1 + 4), {1,"st";2,"nd";3,"rd";4,"th";5,"th";6,"th";7,"th";8,"th";9,"th";10,"th";11,"th";12,"th";13,"th";14,"th";15,"th";16,"th";17,"th";18,"th";19,"th";20,"th";21,"st";22,"nd";23,"rd";24,"th";25,"th";26,"th";27,"th";28,"th";29,"th";30,"th";31,"st"}), ")")</f>
        <v>Fri (15th)</v>
      </c>
      <c r="B6" s="18"/>
      <c r="C6" s="18"/>
      <c r="D6" s="18"/>
      <c r="E6" s="19"/>
      <c r="F6" s="13">
        <f>3+4+1</f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8"/>
      <c r="H7" s="2" t="s">
        <v>10</v>
      </c>
      <c r="I7" s="5">
        <f>SUM(I2:I6)</f>
        <v>41.800000000000004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-1.8000000000000043</v>
      </c>
      <c r="J9" s="9"/>
    </row>
    <row r="15" spans="1:12" x14ac:dyDescent="0.35">
      <c r="J15" s="3"/>
      <c r="K15" s="3"/>
    </row>
    <row r="16" spans="1:12" x14ac:dyDescent="0.35">
      <c r="J16" s="3"/>
      <c r="K16" s="3"/>
    </row>
    <row r="17" spans="10:11" x14ac:dyDescent="0.35">
      <c r="J17" s="3"/>
      <c r="K17" s="3"/>
    </row>
    <row r="18" spans="10:11" x14ac:dyDescent="0.35">
      <c r="J18" s="3"/>
      <c r="K18" s="3"/>
    </row>
    <row r="19" spans="10:11" x14ac:dyDescent="0.35">
      <c r="J19" s="3"/>
      <c r="K19" s="3"/>
    </row>
    <row r="20" spans="10:11" x14ac:dyDescent="0.35">
      <c r="J20" s="3"/>
      <c r="K20" s="3"/>
    </row>
    <row r="21" spans="10:11" x14ac:dyDescent="0.35">
      <c r="J21" s="3"/>
      <c r="K21" s="3"/>
    </row>
    <row r="22" spans="10:11" x14ac:dyDescent="0.35">
      <c r="J22" s="3"/>
      <c r="K22" s="3"/>
    </row>
    <row r="23" spans="10:11" x14ac:dyDescent="0.35">
      <c r="J23" s="3"/>
      <c r="K23" s="3"/>
    </row>
    <row r="24" spans="10:11" x14ac:dyDescent="0.35">
      <c r="J24" s="3"/>
      <c r="K24" s="3"/>
    </row>
    <row r="25" spans="10:11" x14ac:dyDescent="0.35">
      <c r="J25" s="3"/>
      <c r="K25" s="3"/>
    </row>
  </sheetData>
  <conditionalFormatting sqref="I2:I6">
    <cfRule type="cellIs" dxfId="220" priority="4" operator="greaterThan">
      <formula>7.99999999</formula>
    </cfRule>
    <cfRule type="cellIs" dxfId="219" priority="5" operator="lessThan">
      <formula>8</formula>
    </cfRule>
  </conditionalFormatting>
  <conditionalFormatting sqref="I7">
    <cfRule type="cellIs" dxfId="218" priority="6" operator="lessThan">
      <formula>40</formula>
    </cfRule>
    <cfRule type="cellIs" dxfId="217" priority="7" operator="greaterThan">
      <formula>39.999999</formula>
    </cfRule>
  </conditionalFormatting>
  <conditionalFormatting sqref="K2:K6">
    <cfRule type="cellIs" dxfId="216" priority="1" operator="equal">
      <formula>"-"</formula>
    </cfRule>
    <cfRule type="cellIs" dxfId="215" priority="2" operator="greaterThan">
      <formula>0.1</formula>
    </cfRule>
    <cfRule type="cellIs" dxfId="21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9E13-B2B1-4768-AA4E-7BE704A68E62}">
  <sheetPr codeName="Sheet24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_xlfn.CONCAT(MID(_xlfn.TEXTAFTER(CELL("filename", A1), "]"),5,2), "/", RIGHT(_xlfn.TEXTAFTER(CELL("filename", A1), "]"), 2), "/", LEFT(_xlfn.TEXTAFTER(CELL("filename", A1), "]"), 4))</f>
        <v>08/04/2025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LOOKUP(DAY(A1), {1,"st";2,"nd";3,"rd";4,"th";5,"th";6,"th";7,"th";8,"th";9,"th";10,"th";11,"th";12,"th";13,"th";14,"th";15,"th";16,"th";17,"th";18,"th";19,"th";20,"th";21,"st";22,"nd";23,"rd";24,"th";25,"th";26,"th";27,"th";28,"th";29,"th";30,"th";31,"st"}), ")")</f>
        <v>Mon (4th)</v>
      </c>
      <c r="B2" s="18">
        <v>0.28819444444444442</v>
      </c>
      <c r="C2" s="18">
        <v>0.51111111111111107</v>
      </c>
      <c r="D2" s="18">
        <v>0.53819444444444442</v>
      </c>
      <c r="E2" s="19">
        <v>0.54166666666666663</v>
      </c>
      <c r="F2" s="12">
        <v>3</v>
      </c>
      <c r="G2" s="12">
        <f>SUM(C2 - B2) * 24</f>
        <v>5.35</v>
      </c>
      <c r="H2" s="13">
        <f>SUM(E2 - D2) * 24</f>
        <v>8.3333333333333037E-2</v>
      </c>
      <c r="I2" s="4">
        <f>G2 + H2 + F2</f>
        <v>8.4333333333333336</v>
      </c>
      <c r="J2" s="23">
        <f>IF(AND(C2 &lt;&gt; "", D2 &lt;&gt; ""), (SUM(D2 - C2) * 1440), " - ")</f>
        <v>39.000000000000021</v>
      </c>
      <c r="K2" s="24">
        <f>IF(AND((B2 &lt;&gt; ""), (C2 &lt;&gt; ""), (D2 &lt;&gt; ""), (E2 &lt;&gt; "")), IF((((8 - I2) * 60) + 1) &gt; 0, (((8 - I2) * 60) + 1), (((8 - I2) * 60) - 1)), "-")</f>
        <v>-27.000000000000014</v>
      </c>
      <c r="L2" s="33"/>
    </row>
    <row r="3" spans="1:12" x14ac:dyDescent="0.35">
      <c r="A3" s="34" t="str">
        <f ca="1">_xlfn.CONCAT(TEXT(A1 + 1, "ddd"), " (", DAY(A1 + 1), LOOKUP(DAY(A1 + 1), {1,"st";2,"nd";3,"rd";4,"th";5,"th";6,"th";7,"th";8,"th";9,"th";10,"th";11,"th";12,"th";13,"th";14,"th";15,"th";16,"th";17,"th";18,"th";19,"th";20,"th";21,"st";22,"nd";23,"rd";24,"th";25,"th";26,"th";27,"th";28,"th";29,"th";30,"th";31,"st"}), ")")</f>
        <v>Tue (5th)</v>
      </c>
      <c r="B3" s="18">
        <v>0.28819444444444442</v>
      </c>
      <c r="C3" s="18">
        <v>0.4909722222222222</v>
      </c>
      <c r="D3" s="18">
        <v>0.52152777777777781</v>
      </c>
      <c r="E3" s="19">
        <v>0.54166666666666663</v>
      </c>
      <c r="F3" s="13">
        <v>3</v>
      </c>
      <c r="G3" s="12">
        <f>SUM(C3 - B3) * 24</f>
        <v>4.8666666666666671</v>
      </c>
      <c r="H3" s="13">
        <f>SUM(E3 - D3) * 24</f>
        <v>0.48333333333333162</v>
      </c>
      <c r="I3" s="4">
        <f t="shared" ref="I3:I6" si="0">G3 + H3 + F3</f>
        <v>8.3499999999999979</v>
      </c>
      <c r="J3" s="23">
        <f>IF(AND(C3 &lt;&gt; "", D3 &lt;&gt; ""), (SUM(D3 - C3) * 1440), " - ")</f>
        <v>44.000000000000085</v>
      </c>
      <c r="K3" s="24">
        <f>IF(AND((B3 &lt;&gt; ""), (C3 &lt;&gt; ""), (D3 &lt;&gt; ""), (E3 &lt;&gt; "")), IF((((8 - I3) * 60) + 1) &gt; 0, (((8 - I3) * 60) + 1), (((8 - I3) * 60) - 1)), "-")</f>
        <v>-21.999999999999872</v>
      </c>
    </row>
    <row r="4" spans="1:12" x14ac:dyDescent="0.35">
      <c r="A4" s="34" t="str">
        <f ca="1">_xlfn.CONCAT(TEXT(A1 + 2, "ddd"), " (", DAY(A1 + 2), LOOKUP(DAY(A1 + 2), {1,"st";2,"nd";3,"rd";4,"th";5,"th";6,"th";7,"th";8,"th";9,"th";10,"th";11,"th";12,"th";13,"th";14,"th";15,"th";16,"th";17,"th";18,"th";19,"th";20,"th";21,"st";22,"nd";23,"rd";24,"th";25,"th";26,"th";27,"th";28,"th";29,"th";30,"th";31,"st"}), ")")</f>
        <v>Wed (6th)</v>
      </c>
      <c r="B4" s="18">
        <v>0.28819444444444442</v>
      </c>
      <c r="C4" s="18">
        <v>0.5</v>
      </c>
      <c r="D4" s="18">
        <v>0.53125</v>
      </c>
      <c r="E4" s="19">
        <v>0.54166666666666663</v>
      </c>
      <c r="F4" s="20">
        <v>3</v>
      </c>
      <c r="G4" s="12">
        <f t="shared" ref="G4:G5" si="1">SUM(C4 - B4) * 24</f>
        <v>5.0833333333333339</v>
      </c>
      <c r="H4" s="13">
        <f t="shared" ref="H4:H6" si="2">SUM(E4 - D4) * 24</f>
        <v>0.24999999999999911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2" x14ac:dyDescent="0.35">
      <c r="A5" s="34" t="str">
        <f ca="1">_xlfn.CONCAT(TEXT(A1 + 3, "ddd"), " (", DAY(A1 + 3), LOOKUP(DAY(A1 + 3), {1,"st";2,"nd";3,"rd";4,"th";5,"th";6,"th";7,"th";8,"th";9,"th";10,"th";11,"th";12,"th";13,"th";14,"th";15,"th";16,"th";17,"th";18,"th";19,"th";20,"th";21,"st";22,"nd";23,"rd";24,"th";25,"th";26,"th";27,"th";28,"th";29,"th";30,"th";31,"st"}), ")")</f>
        <v>Thu (7th)</v>
      </c>
      <c r="B5" s="18">
        <v>0.28819444444444442</v>
      </c>
      <c r="C5" s="18"/>
      <c r="D5" s="18"/>
      <c r="E5" s="19">
        <v>0.5</v>
      </c>
      <c r="F5" s="20">
        <v>4</v>
      </c>
      <c r="G5" s="12">
        <f t="shared" si="1"/>
        <v>-6.9166666666666661</v>
      </c>
      <c r="H5" s="13">
        <f t="shared" si="2"/>
        <v>12</v>
      </c>
      <c r="I5" s="4">
        <f t="shared" si="0"/>
        <v>9.0833333333333339</v>
      </c>
      <c r="J5" s="23" t="str">
        <f t="shared" si="3"/>
        <v xml:space="preserve"> - </v>
      </c>
      <c r="K5" s="24" t="str">
        <f t="shared" si="4"/>
        <v>-</v>
      </c>
    </row>
    <row r="6" spans="1:12" ht="24" thickBot="1" x14ac:dyDescent="0.4">
      <c r="A6" s="34" t="str">
        <f ca="1">_xlfn.CONCAT(TEXT(A1 + 4, "ddd"), " (", DAY(A1 + 4), LOOKUP(DAY(A1 + 4), {1,"st";2,"nd";3,"rd";4,"th";5,"th";6,"th";7,"th";8,"th";9,"th";10,"th";11,"th";12,"th";13,"th";14,"th";15,"th";16,"th";17,"th";18,"th";19,"th";20,"th";21,"st";22,"nd";23,"rd";24,"th";25,"th";26,"th";27,"th";28,"th";29,"th";30,"th";31,"st"}), ")")</f>
        <v>Fri (8th)</v>
      </c>
      <c r="B6" s="18">
        <v>0.28819444444444442</v>
      </c>
      <c r="C6" s="18">
        <v>0.50138888888888888</v>
      </c>
      <c r="D6" s="18">
        <v>0.53541666666666665</v>
      </c>
      <c r="E6" s="19">
        <v>0.54166666666666663</v>
      </c>
      <c r="F6" s="13">
        <v>3</v>
      </c>
      <c r="G6" s="12">
        <f>SUM(C6 - B6) * 24</f>
        <v>5.1166666666666671</v>
      </c>
      <c r="H6" s="13">
        <f t="shared" si="2"/>
        <v>0.14999999999999947</v>
      </c>
      <c r="I6" s="4">
        <f t="shared" si="0"/>
        <v>8.2666666666666657</v>
      </c>
      <c r="J6" s="23">
        <f t="shared" si="3"/>
        <v>48.999999999999986</v>
      </c>
      <c r="K6" s="24">
        <f>IF(AND((B6 &lt;&gt; ""), (C6 &lt;&gt; ""), (D6 &lt;&gt; ""), (E6 &lt;&gt; "")), IF((((8 - I6) * 60) + 1) &gt; 0, (((8 - I6) * 60) + 1), (((8 - I6) * 60) - 1)), "-")</f>
        <v>-16.999999999999943</v>
      </c>
    </row>
    <row r="7" spans="1:12" ht="36.75" thickBot="1" x14ac:dyDescent="0.6">
      <c r="B7" s="8"/>
      <c r="H7" s="2" t="s">
        <v>10</v>
      </c>
      <c r="I7" s="5">
        <f>SUM(I2:I6)</f>
        <v>42.466666666666661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-2.4666666666666615</v>
      </c>
      <c r="J9" s="9"/>
    </row>
  </sheetData>
  <conditionalFormatting sqref="I2:I6">
    <cfRule type="cellIs" dxfId="213" priority="4" operator="greaterThan">
      <formula>7.99999999</formula>
    </cfRule>
    <cfRule type="cellIs" dxfId="212" priority="5" operator="lessThan">
      <formula>8</formula>
    </cfRule>
  </conditionalFormatting>
  <conditionalFormatting sqref="I7">
    <cfRule type="cellIs" dxfId="211" priority="6" operator="lessThan">
      <formula>40</formula>
    </cfRule>
    <cfRule type="cellIs" dxfId="210" priority="7" operator="greaterThan">
      <formula>39.999999</formula>
    </cfRule>
  </conditionalFormatting>
  <conditionalFormatting sqref="K2:K6">
    <cfRule type="cellIs" dxfId="209" priority="1" operator="equal">
      <formula>"-"</formula>
    </cfRule>
    <cfRule type="cellIs" dxfId="208" priority="2" operator="greaterThan">
      <formula>0.1</formula>
    </cfRule>
    <cfRule type="cellIs" dxfId="20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D5B61-58DC-4369-9B7A-48DD56F9C413}">
  <sheetPr codeName="Sheet25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_xlfn.CONCAT(MID(RIGHT(CELL("filename"),LEN(CELL("filename"))-FIND("]",CELL("filename"))), 5, 2), "/", MID(RIGHT(CELL("filename"),LEN(CELL("filename"))-FIND("]",CELL("filename"))), 7, 2), "/", MID(RIGHT(CELL("filename"),LEN(CELL("filename"))-FIND("]",CELL("filename"))), 1, 4))</f>
        <v>12/29/2025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IF(RIGHT(TEXT(DAY(A1), "0"), 1) = "1", "st", IF(RIGHT(TEXT(DAY(A1), "0"), 1) = "2", "nd", IF(RIGHT(TEXT(DAY(A1), "0"), 1) = "3", "rd", "th"))), ")")</f>
        <v>Mon (29th)</v>
      </c>
      <c r="B2" s="18">
        <v>0.28819444444444442</v>
      </c>
      <c r="C2" s="18">
        <v>0.49583333333333335</v>
      </c>
      <c r="D2" s="18">
        <v>0.52500000000000002</v>
      </c>
      <c r="E2" s="19">
        <v>0.66666666666666663</v>
      </c>
      <c r="F2" s="12">
        <v>0</v>
      </c>
      <c r="G2" s="12">
        <f>SUM(C2 - B2) * 24</f>
        <v>4.9833333333333343</v>
      </c>
      <c r="H2" s="13">
        <f>SUM(E2 - D2) * 24</f>
        <v>3.3999999999999986</v>
      </c>
      <c r="I2" s="4">
        <f>G2 + H2 + F2</f>
        <v>8.3833333333333329</v>
      </c>
      <c r="J2" s="23">
        <f>IF(AND(C2 &lt;&gt; "", D2 &lt;&gt; ""), (SUM(D2 - C2) * 1440), " - ")</f>
        <v>42.000000000000014</v>
      </c>
      <c r="K2" s="24">
        <f>IF(AND((B2 &lt;&gt; ""), (C2 &lt;&gt; ""), (D2 &lt;&gt; ""), (E2 &lt;&gt; "")), IF((((8 - I2) * 60) + 1) &gt; 0, (((8 - I2) * 60) + 1), (((8 - I2) * 60) - 1)), "-")</f>
        <v>-23.999999999999972</v>
      </c>
      <c r="L2" s="33"/>
    </row>
    <row r="3" spans="1:12" x14ac:dyDescent="0.35">
      <c r="A3" s="34" t="str">
        <f ca="1">_xlfn.CONCAT(TEXT(A1 + 1, "ddd"), " (", DAY(A1 + 1), IF(RIGHT(TEXT(DAY(A1 + 1), "0"), 1) = "1", "st", IF(RIGHT(TEXT(DAY(A1 + 1), "0"), 1) = "2", "nd", IF(RIGHT(TEXT(DAY(A1 + 1), "0"), 1) = "3", "rd", "th"))), ")")</f>
        <v>Tue (30th)</v>
      </c>
      <c r="B3" s="18">
        <v>0.28819444444444442</v>
      </c>
      <c r="C3" s="18">
        <v>0.48680555555555555</v>
      </c>
      <c r="D3" s="18">
        <v>0.51666666666666672</v>
      </c>
      <c r="E3" s="19">
        <v>0.66666666666666663</v>
      </c>
      <c r="F3" s="13">
        <v>0</v>
      </c>
      <c r="G3" s="12">
        <f>SUM(C3 - B3) * 24</f>
        <v>4.7666666666666675</v>
      </c>
      <c r="H3" s="13">
        <f>SUM(E3 - D3) * 24</f>
        <v>3.5999999999999979</v>
      </c>
      <c r="I3" s="4">
        <f t="shared" ref="I3:I6" si="0">G3 + H3 + F3</f>
        <v>8.3666666666666654</v>
      </c>
      <c r="J3" s="23">
        <f>IF(AND(C3 &lt;&gt; "", D3 &lt;&gt; ""), (SUM(D3 - C3) * 1440), " - ")</f>
        <v>43.000000000000085</v>
      </c>
      <c r="K3" s="24">
        <f>IF(AND((B3 &lt;&gt; ""), (C3 &lt;&gt; ""), (D3 &lt;&gt; ""), (E3 &lt;&gt; "")), IF((((8 - I3) * 60) + 1) &gt; 0, (((8 - I3) * 60) + 1), (((8 - I3) * 60) - 1)), "-")</f>
        <v>-22.999999999999922</v>
      </c>
    </row>
    <row r="4" spans="1:12" x14ac:dyDescent="0.35">
      <c r="A4" s="34" t="str">
        <f ca="1">_xlfn.CONCAT(TEXT(A1 + 2, "ddd"), " (", DAY(A1 + 2), IF(RIGHT(TEXT(DAY(A1 + 1), "0"), 1) = "1", "st", IF(RIGHT(TEXT(DAY(A1 + 2), "0"), 1) = "2", "nd", IF(RIGHT(TEXT(DAY(A1 + 2), "0"), 1) = "3", "rd", "th"))), ")")</f>
        <v>Wed (31th)</v>
      </c>
      <c r="B4" s="18">
        <v>0.28819444444444442</v>
      </c>
      <c r="C4" s="18">
        <v>0.51041666666666663</v>
      </c>
      <c r="D4" s="18">
        <v>0.53888888888888886</v>
      </c>
      <c r="E4" s="19">
        <v>0.66666666666666663</v>
      </c>
      <c r="F4" s="20">
        <v>0</v>
      </c>
      <c r="G4" s="12">
        <f t="shared" ref="G4:G5" si="1">SUM(C4 - B4) * 24</f>
        <v>5.333333333333333</v>
      </c>
      <c r="H4" s="13">
        <f t="shared" ref="H4:H6" si="2">SUM(E4 - D4) * 24</f>
        <v>3.0666666666666664</v>
      </c>
      <c r="I4" s="4">
        <f t="shared" si="0"/>
        <v>8.3999999999999986</v>
      </c>
      <c r="J4" s="23">
        <f t="shared" ref="J4:J6" si="3">IF(AND(C4 &lt;&gt; "", D4 &lt;&gt; ""), (SUM(D4 - C4) * 1440), " - ")</f>
        <v>41.000000000000014</v>
      </c>
      <c r="K4" s="24">
        <f t="shared" ref="K4:K5" si="4">IF(AND((B4 &lt;&gt; ""), (C4 &lt;&gt; ""), (D4 &lt;&gt; ""), (E4 &lt;&gt; "")), IF((((8 - I4) * 60) + 1) &gt; 0, (((8 - I4) * 60) + 1), (((8 - I4) * 60) - 1)), "-")</f>
        <v>-24.999999999999915</v>
      </c>
    </row>
    <row r="5" spans="1:12" x14ac:dyDescent="0.35">
      <c r="A5" s="34" t="str">
        <f ca="1">_xlfn.CONCAT(TEXT(A1 + 3, "ddd"), " (", DAY(A1 + 3), IF(RIGHT(TEXT(DAY(A1 + 3), "0"), 1) = "1", "st", IF(RIGHT(TEXT(DAY(A1 + 3), "0"), 1) = "2", "nd", IF(RIGHT(TEXT(DAY(A1 + 3), "0"), 1) = "3", "rd", "th"))), ")")</f>
        <v>Thu (1st)</v>
      </c>
      <c r="B5" s="18">
        <v>0.28819444444444442</v>
      </c>
      <c r="C5" s="18">
        <v>0.48888888888888887</v>
      </c>
      <c r="D5" s="18">
        <v>0.5180555555555556</v>
      </c>
      <c r="E5" s="19">
        <v>0.66666666666666663</v>
      </c>
      <c r="F5" s="20">
        <v>0</v>
      </c>
      <c r="G5" s="12">
        <f t="shared" si="1"/>
        <v>4.8166666666666664</v>
      </c>
      <c r="H5" s="13">
        <f t="shared" si="2"/>
        <v>3.5666666666666647</v>
      </c>
      <c r="I5" s="4">
        <f t="shared" si="0"/>
        <v>8.3833333333333311</v>
      </c>
      <c r="J5" s="23">
        <f t="shared" si="3"/>
        <v>42.000000000000092</v>
      </c>
      <c r="K5" s="24">
        <f t="shared" si="4"/>
        <v>-23.999999999999865</v>
      </c>
    </row>
    <row r="6" spans="1:12" ht="24" thickBot="1" x14ac:dyDescent="0.4">
      <c r="A6" s="34" t="str">
        <f ca="1">_xlfn.CONCAT(TEXT(A1 + 4, "ddd"), " (", DAY(A1 + 4), IF(RIGHT(TEXT(DAY(A1 + 4), "0"), 1) = "1", "st", IF(RIGHT(TEXT(DAY(A1 + 4), "0"), 1) = "2", "nd", IF(RIGHT(TEXT(DAY(A1 + 4), "0"), 1) = "3", "rd", "th"))), ")")</f>
        <v>Fri (2nd)</v>
      </c>
      <c r="B6" s="18">
        <v>0.28819444444444442</v>
      </c>
      <c r="C6" s="18">
        <v>0.51666666666666672</v>
      </c>
      <c r="D6" s="18">
        <v>0.54722222222222228</v>
      </c>
      <c r="E6" s="19">
        <v>0.66666666666666663</v>
      </c>
      <c r="F6" s="13">
        <v>0</v>
      </c>
      <c r="G6" s="12">
        <f>SUM(C6 - B6) * 24</f>
        <v>5.4833333333333352</v>
      </c>
      <c r="H6" s="13">
        <f t="shared" si="2"/>
        <v>2.8666666666666645</v>
      </c>
      <c r="I6" s="4">
        <f t="shared" si="0"/>
        <v>8.35</v>
      </c>
      <c r="J6" s="23">
        <f t="shared" si="3"/>
        <v>44</v>
      </c>
      <c r="K6" s="24">
        <f>IF(AND((B6 &lt;&gt; ""), (C6 &lt;&gt; ""), (D6 &lt;&gt; ""), (E6 &lt;&gt; "")), IF((((8 - I6) * 60) + 1) &gt; 0, (((8 - I6) * 60) + 1), (((8 - I6) * 60) - 1)), "-")</f>
        <v>-21.999999999999979</v>
      </c>
    </row>
    <row r="7" spans="1:12" ht="36.75" thickBot="1" x14ac:dyDescent="0.6">
      <c r="B7" s="8"/>
      <c r="H7" s="2" t="s">
        <v>10</v>
      </c>
      <c r="I7" s="5">
        <f>SUM(I2:I6)</f>
        <v>41.883333333333333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-1.8833333333333329</v>
      </c>
      <c r="J9" s="9"/>
    </row>
  </sheetData>
  <conditionalFormatting sqref="I2:I6">
    <cfRule type="cellIs" dxfId="206" priority="4" operator="greaterThan">
      <formula>7.99999999</formula>
    </cfRule>
    <cfRule type="cellIs" dxfId="205" priority="5" operator="lessThan">
      <formula>8</formula>
    </cfRule>
  </conditionalFormatting>
  <conditionalFormatting sqref="I7">
    <cfRule type="cellIs" dxfId="204" priority="6" operator="lessThan">
      <formula>40</formula>
    </cfRule>
    <cfRule type="cellIs" dxfId="203" priority="7" operator="greaterThan">
      <formula>39.999999</formula>
    </cfRule>
  </conditionalFormatting>
  <conditionalFormatting sqref="K2:K6">
    <cfRule type="cellIs" dxfId="202" priority="1" operator="equal">
      <formula>"-"</formula>
    </cfRule>
    <cfRule type="cellIs" dxfId="201" priority="2" operator="greaterThan">
      <formula>0.1</formula>
    </cfRule>
    <cfRule type="cellIs" dxfId="20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8C90-DD73-4EAB-AA99-1101ADDFFB8D}">
  <sheetPr codeName="Sheet26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 t="str" cm="1">
        <f t="array" aca="1" ref="A1" ca="1">_xlfn.CONCAT(MID(RIGHT(CELL("filename"),LEN(CELL("filename"))-FIND("]",CELL("filename"))), 5, 2), "/", MID(RIGHT(CELL("filename"),LEN(CELL("filename"))-FIND("]",CELL("filename"))), 7, 2), "/", MID(RIGHT(CELL("filename"),LEN(CELL("filename"))-FIND("]",CELL("filename"))), 1, 4))</f>
        <v>12/29/2025</v>
      </c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tr">
        <f ca="1">_xlfn.CONCAT(TEXT(A1, "ddd"), " (", DAY(A1), IF(RIGHT(TEXT(DAY(A1), "0"), 1) = "1", "st", IF(RIGHT(TEXT(DAY(A1), "0"), 1) = "2", "nd", IF(RIGHT(TEXT(DAY(A1), "0"), 1) = "3", "rd", "th"))), ")")</f>
        <v>Mon (29th)</v>
      </c>
      <c r="B2" s="18">
        <v>0.28819444444444442</v>
      </c>
      <c r="C2" s="18">
        <v>0.5131944444444444</v>
      </c>
      <c r="D2" s="18">
        <v>0.54374999999999996</v>
      </c>
      <c r="E2" s="19">
        <v>0.66666666666666663</v>
      </c>
      <c r="F2" s="12">
        <v>0</v>
      </c>
      <c r="G2" s="12">
        <f>SUM(C2 - B2) * 24</f>
        <v>5.3999999999999995</v>
      </c>
      <c r="H2" s="13">
        <f>SUM(E2 - D2) * 24</f>
        <v>2.95</v>
      </c>
      <c r="I2" s="4">
        <f>G2 + H2 + F2</f>
        <v>8.35</v>
      </c>
      <c r="J2" s="23">
        <f>IF(AND(C2 &lt;&gt; "", D2 &lt;&gt; ""), (SUM(D2 - C2) * 1440), " - ")</f>
        <v>44</v>
      </c>
      <c r="K2" s="24">
        <f>IF(AND((B2 &lt;&gt; ""), (C2 &lt;&gt; ""), (D2 &lt;&gt; ""), (E2 &lt;&gt; "")), IF((((8 - I2) * 60) + 1) &gt; 0, (((8 - I2) * 60) + 1), (((8 - I2) * 60) - 1)), "-")</f>
        <v>-21.999999999999979</v>
      </c>
      <c r="L2" s="33"/>
    </row>
    <row r="3" spans="1:12" x14ac:dyDescent="0.35">
      <c r="A3" s="34" t="str">
        <f ca="1">_xlfn.CONCAT(TEXT(A1 + 1, "ddd"), " (", DAY(A1 + 1), IF(RIGHT(TEXT(DAY(A1 + 1), "0"), 1) = "1", "st", IF(RIGHT(TEXT(DAY(A1 + 1), "0"), 1) = "2", "nd", IF(RIGHT(TEXT(DAY(A1 + 1), "0"), 1) = "3", "rd", "th"))), ")")</f>
        <v>Tue (30th)</v>
      </c>
      <c r="B3" s="18">
        <v>0.28819444444444442</v>
      </c>
      <c r="C3" s="18">
        <v>0.48055555555555557</v>
      </c>
      <c r="D3" s="18">
        <v>0.52013888888888893</v>
      </c>
      <c r="E3" s="19">
        <v>0.66180555555555554</v>
      </c>
      <c r="F3" s="13">
        <v>0</v>
      </c>
      <c r="G3" s="12">
        <f>SUM(C3 - B3) * 24</f>
        <v>4.6166666666666671</v>
      </c>
      <c r="H3" s="13">
        <f>SUM(E3 - D3) * 24</f>
        <v>3.3999999999999986</v>
      </c>
      <c r="I3" s="4">
        <f t="shared" ref="I3:I6" si="0">G3 + H3 + F3</f>
        <v>8.0166666666666657</v>
      </c>
      <c r="J3" s="23">
        <f>IF(AND(C3 &lt;&gt; "", D3 &lt;&gt; ""), (SUM(D3 - C3) * 1440), " - ")</f>
        <v>57.000000000000036</v>
      </c>
      <c r="K3" s="24">
        <f>IF(AND((B3 &lt;&gt; ""), (C3 &lt;&gt; ""), (D3 &lt;&gt; ""), (E3 &lt;&gt; "")), IF((((8 - I3) * 60) + 1) &gt; 0, (((8 - I3) * 60) + 1), (((8 - I3) * 60) - 1)), "-")</f>
        <v>5.6843418860808015E-14</v>
      </c>
    </row>
    <row r="4" spans="1:12" x14ac:dyDescent="0.35">
      <c r="A4" s="34" t="str">
        <f ca="1">_xlfn.CONCAT(TEXT(A1 + 2, "ddd"), " (", DAY(A1 + 2), IF(RIGHT(TEXT(DAY(A1 + 1), "0"), 1) = "1", "st", IF(RIGHT(TEXT(DAY(A1 + 2), "0"), 1) = "2", "nd", IF(RIGHT(TEXT(DAY(A1 + 2), "0"), 1) = "3", "rd", "th"))), ")")</f>
        <v>Wed (31th)</v>
      </c>
      <c r="B4" s="18">
        <v>0.27916666666666667</v>
      </c>
      <c r="C4" s="18">
        <v>0.55555555555555558</v>
      </c>
      <c r="D4" s="18">
        <v>0.58750000000000002</v>
      </c>
      <c r="E4" s="19">
        <v>0.66666666666666663</v>
      </c>
      <c r="F4" s="20">
        <v>0</v>
      </c>
      <c r="G4" s="12">
        <f t="shared" ref="G4:G5" si="1">SUM(C4 - B4) * 24</f>
        <v>6.6333333333333337</v>
      </c>
      <c r="H4" s="13">
        <f t="shared" ref="H4:H6" si="2">SUM(E4 - D4) * 24</f>
        <v>1.8999999999999986</v>
      </c>
      <c r="I4" s="4">
        <f t="shared" si="0"/>
        <v>8.5333333333333314</v>
      </c>
      <c r="J4" s="23">
        <f t="shared" ref="J4:J6" si="3">IF(AND(C4 &lt;&gt; "", D4 &lt;&gt; ""), (SUM(D4 - C4) * 1440), " - ")</f>
        <v>46</v>
      </c>
      <c r="K4" s="24">
        <f t="shared" ref="K4:K5" si="4">IF(AND((B4 &lt;&gt; ""), (C4 &lt;&gt; ""), (D4 &lt;&gt; ""), (E4 &lt;&gt; "")), IF((((8 - I4) * 60) + 1) &gt; 0, (((8 - I4) * 60) + 1), (((8 - I4) * 60) - 1)), "-")</f>
        <v>-32.999999999999886</v>
      </c>
    </row>
    <row r="5" spans="1:12" x14ac:dyDescent="0.35">
      <c r="A5" s="34" t="str">
        <f ca="1">_xlfn.CONCAT(TEXT(A1 + 3, "ddd"), " (", DAY(A1 + 3), IF(RIGHT(TEXT(DAY(A1 + 3), "0"), 1) = "1", "st", IF(RIGHT(TEXT(DAY(A1 + 3), "0"), 1) = "2", "nd", IF(RIGHT(TEXT(DAY(A1 + 3), "0"), 1) = "3", "rd", "th"))), ")")</f>
        <v>Thu (1st)</v>
      </c>
      <c r="B5" s="18">
        <v>0.28819444444444442</v>
      </c>
      <c r="C5" s="18">
        <v>0.54166666666666663</v>
      </c>
      <c r="D5" s="18">
        <v>0.57291666666666663</v>
      </c>
      <c r="E5" s="19">
        <v>0.66666666666666663</v>
      </c>
      <c r="F5" s="20">
        <v>0</v>
      </c>
      <c r="G5" s="12">
        <f t="shared" si="1"/>
        <v>6.083333333333333</v>
      </c>
      <c r="H5" s="13">
        <f t="shared" si="2"/>
        <v>2.25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2" ht="24" thickBot="1" x14ac:dyDescent="0.4">
      <c r="A6" s="34" t="str">
        <f ca="1">_xlfn.CONCAT(TEXT(A1 + 4, "ddd"), " (", DAY(A1 + 4), IF(RIGHT(TEXT(DAY(A1 + 4), "0"), 1) = "1", "st", IF(RIGHT(TEXT(DAY(A1 + 4), "0"), 1) = "2", "nd", IF(RIGHT(TEXT(DAY(A1 + 4), "0"), 1) = "3", "rd", "th"))), ")")</f>
        <v>Fri (2nd)</v>
      </c>
      <c r="B6" s="18">
        <v>0.28819444444444442</v>
      </c>
      <c r="C6" s="18">
        <v>0.54027777777777775</v>
      </c>
      <c r="D6" s="18">
        <v>0.5708333333333333</v>
      </c>
      <c r="E6" s="19">
        <v>0.625</v>
      </c>
      <c r="F6" s="13">
        <v>0</v>
      </c>
      <c r="G6" s="12">
        <f>SUM(C6 - B6) * 24</f>
        <v>6.05</v>
      </c>
      <c r="H6" s="13">
        <f t="shared" si="2"/>
        <v>1.3000000000000007</v>
      </c>
      <c r="I6" s="4">
        <f t="shared" si="0"/>
        <v>7.3500000000000005</v>
      </c>
      <c r="J6" s="23">
        <f t="shared" si="3"/>
        <v>44</v>
      </c>
      <c r="K6" s="24">
        <f>IF(AND((B6 &lt;&gt; ""), (C6 &lt;&gt; ""), (D6 &lt;&gt; ""), (E6 &lt;&gt; "")), IF((((8 - I6) * 60) + 1) &gt; 0, (((8 - I6) * 60) + 1), (((8 - I6) * 60) - 1)), "-")</f>
        <v>39.999999999999972</v>
      </c>
    </row>
    <row r="7" spans="1:12" ht="36.75" thickBot="1" x14ac:dyDescent="0.6">
      <c r="B7" s="8"/>
      <c r="H7" s="2" t="s">
        <v>10</v>
      </c>
      <c r="I7" s="5">
        <f>SUM(I2:I6)</f>
        <v>40.583333333333336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-0.5833333333333357</v>
      </c>
      <c r="J9" s="9"/>
    </row>
  </sheetData>
  <conditionalFormatting sqref="I2:I6">
    <cfRule type="cellIs" dxfId="199" priority="4" operator="greaterThan">
      <formula>7.99999999</formula>
    </cfRule>
    <cfRule type="cellIs" dxfId="198" priority="5" operator="lessThan">
      <formula>8</formula>
    </cfRule>
  </conditionalFormatting>
  <conditionalFormatting sqref="I7">
    <cfRule type="cellIs" dxfId="197" priority="6" operator="lessThan">
      <formula>40</formula>
    </cfRule>
    <cfRule type="cellIs" dxfId="196" priority="7" operator="greaterThan">
      <formula>39.999999</formula>
    </cfRule>
  </conditionalFormatting>
  <conditionalFormatting sqref="K2:K6">
    <cfRule type="cellIs" dxfId="195" priority="1" operator="equal">
      <formula>"-"</formula>
    </cfRule>
    <cfRule type="cellIs" dxfId="194" priority="2" operator="greaterThan">
      <formula>0.1</formula>
    </cfRule>
    <cfRule type="cellIs" dxfId="193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8E7-66EE-4834-9E83-8605906014E5}">
  <sheetPr codeName="Sheet27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35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0.51458333333333328</v>
      </c>
      <c r="D2" s="18">
        <v>0.54583333333333328</v>
      </c>
      <c r="E2" s="19">
        <v>0.66666666666666663</v>
      </c>
      <c r="F2" s="12">
        <v>0</v>
      </c>
      <c r="G2" s="12">
        <f>SUM(C2 - B2) * 24</f>
        <v>5.4333333333333327</v>
      </c>
      <c r="H2" s="13">
        <f>SUM(E2 - D2) * 24</f>
        <v>2.9000000000000004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  <c r="L2" s="33"/>
    </row>
    <row r="3" spans="1:12" x14ac:dyDescent="0.35">
      <c r="A3" s="34" t="s">
        <v>6</v>
      </c>
      <c r="B3" s="18">
        <v>0.28819444444444442</v>
      </c>
      <c r="C3" s="18">
        <v>0.57013888888888886</v>
      </c>
      <c r="D3" s="18">
        <v>0.6</v>
      </c>
      <c r="E3" s="19">
        <v>0.66736111111111107</v>
      </c>
      <c r="F3" s="13">
        <v>0</v>
      </c>
      <c r="G3" s="12">
        <f>SUM(C3 - B3) * 24</f>
        <v>6.7666666666666666</v>
      </c>
      <c r="H3" s="13">
        <f>SUM(E3 - D3) * 24</f>
        <v>1.6166666666666663</v>
      </c>
      <c r="I3" s="4">
        <f t="shared" ref="I3:I6" si="0">G3 + H3 + F3</f>
        <v>8.3833333333333329</v>
      </c>
      <c r="J3" s="23">
        <f>IF(AND(C3 &lt;&gt; "", D3 &lt;&gt; ""), (SUM(D3 - C3) * 1440), " - ")</f>
        <v>43.000000000000007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34" t="s">
        <v>7</v>
      </c>
      <c r="B4" s="18">
        <v>0.28819444444444442</v>
      </c>
      <c r="C4" s="18">
        <v>0.52361111111111114</v>
      </c>
      <c r="D4" s="18">
        <v>0.55555555555555558</v>
      </c>
      <c r="E4" s="19">
        <v>0.66666666666666663</v>
      </c>
      <c r="F4" s="20">
        <v>0</v>
      </c>
      <c r="G4" s="12">
        <f t="shared" ref="G4:G5" si="1">SUM(C4 - B4) * 24</f>
        <v>5.6500000000000012</v>
      </c>
      <c r="H4" s="13">
        <f t="shared" ref="H4:H6" si="2">SUM(E4 - D4) * 24</f>
        <v>2.6666666666666652</v>
      </c>
      <c r="I4" s="4">
        <f t="shared" si="0"/>
        <v>8.3166666666666664</v>
      </c>
      <c r="J4" s="23">
        <f t="shared" ref="J4:J6" si="3">IF(AND(C4 &lt;&gt; "", D4 &lt;&gt; ""), (SUM(D4 - C4) * 1440), " - ")</f>
        <v>46</v>
      </c>
      <c r="K4" s="24">
        <f t="shared" ref="K4:K5" si="4">IF(AND((B4 &lt;&gt; ""), (C4 &lt;&gt; ""), (D4 &lt;&gt; ""), (E4 &lt;&gt; "")), IF((((8 - I4) * 60) + 1) &gt; 0, (((8 - I4) * 60) + 1), (((8 - I4) * 60) - 1)), "-")</f>
        <v>-19.999999999999986</v>
      </c>
    </row>
    <row r="5" spans="1:12" x14ac:dyDescent="0.35">
      <c r="A5" s="34" t="s">
        <v>8</v>
      </c>
      <c r="B5" s="18">
        <v>0.28819444444444442</v>
      </c>
      <c r="C5" s="18">
        <v>0.56597222222222221</v>
      </c>
      <c r="D5" s="18">
        <v>0.59444444444444444</v>
      </c>
      <c r="E5" s="19">
        <v>0.66666666666666663</v>
      </c>
      <c r="F5" s="20">
        <v>0</v>
      </c>
      <c r="G5" s="12">
        <f t="shared" si="1"/>
        <v>6.666666666666667</v>
      </c>
      <c r="H5" s="13">
        <f t="shared" si="2"/>
        <v>1.7333333333333325</v>
      </c>
      <c r="I5" s="4">
        <f t="shared" si="0"/>
        <v>8.3999999999999986</v>
      </c>
      <c r="J5" s="23">
        <f t="shared" si="3"/>
        <v>41.000000000000014</v>
      </c>
      <c r="K5" s="24">
        <f t="shared" si="4"/>
        <v>-24.999999999999915</v>
      </c>
    </row>
    <row r="6" spans="1:12" ht="24" thickBot="1" x14ac:dyDescent="0.4">
      <c r="A6" s="34" t="s">
        <v>9</v>
      </c>
      <c r="B6" s="18">
        <v>0.28819444444444442</v>
      </c>
      <c r="C6" s="18">
        <v>0.49722222222222223</v>
      </c>
      <c r="D6" s="18">
        <v>0.52361111111111114</v>
      </c>
      <c r="E6" s="19">
        <v>0.66666666666666663</v>
      </c>
      <c r="F6" s="13">
        <v>0</v>
      </c>
      <c r="G6" s="12">
        <f>SUM(C6 - B6) * 24</f>
        <v>5.0166666666666675</v>
      </c>
      <c r="H6" s="13">
        <f t="shared" si="2"/>
        <v>3.4333333333333318</v>
      </c>
      <c r="I6" s="4">
        <f t="shared" si="0"/>
        <v>8.4499999999999993</v>
      </c>
      <c r="J6" s="23">
        <f t="shared" si="3"/>
        <v>38.000000000000028</v>
      </c>
      <c r="K6" s="24">
        <f>IF(AND((B6 &lt;&gt; ""), (C6 &lt;&gt; ""), (D6 &lt;&gt; ""), (E6 &lt;&gt; "")), IF((((8 - I6) * 60) + 1) &gt; 0, (((8 - I6) * 60) + 1), (((8 - I6) * 60) - 1)), "-")</f>
        <v>-27.999999999999957</v>
      </c>
    </row>
    <row r="7" spans="1:12" ht="36.75" thickBot="1" x14ac:dyDescent="0.6">
      <c r="B7" s="8"/>
      <c r="H7" s="2" t="s">
        <v>10</v>
      </c>
      <c r="I7" s="5">
        <f>SUM(I2:I6)</f>
        <v>41.883333333333326</v>
      </c>
    </row>
    <row r="8" spans="1:12" ht="24" thickBot="1" x14ac:dyDescent="0.4"/>
    <row r="9" spans="1:12" ht="24" thickBot="1" x14ac:dyDescent="0.4">
      <c r="B9" s="36"/>
      <c r="F9" s="30"/>
      <c r="H9" s="6" t="s">
        <v>11</v>
      </c>
      <c r="I9" s="7">
        <f>40-I7</f>
        <v>-1.8833333333333258</v>
      </c>
      <c r="J9" s="9"/>
    </row>
  </sheetData>
  <conditionalFormatting sqref="I2:I6">
    <cfRule type="cellIs" dxfId="192" priority="4" operator="greaterThan">
      <formula>7.99999999</formula>
    </cfRule>
    <cfRule type="cellIs" dxfId="191" priority="5" operator="lessThan">
      <formula>8</formula>
    </cfRule>
  </conditionalFormatting>
  <conditionalFormatting sqref="I7">
    <cfRule type="cellIs" dxfId="190" priority="6" operator="lessThan">
      <formula>40</formula>
    </cfRule>
    <cfRule type="cellIs" dxfId="189" priority="7" operator="greaterThan">
      <formula>39.999999</formula>
    </cfRule>
  </conditionalFormatting>
  <conditionalFormatting sqref="K2:K6">
    <cfRule type="cellIs" dxfId="188" priority="1" operator="equal">
      <formula>"-"</formula>
    </cfRule>
    <cfRule type="cellIs" dxfId="187" priority="2" operator="greaterThan">
      <formula>0.1</formula>
    </cfRule>
    <cfRule type="cellIs" dxfId="186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B0D2-8309-4B9B-BB3B-360AF5CAA549}">
  <sheetPr codeName="Sheet28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0.49583333333333335</v>
      </c>
      <c r="D2" s="18">
        <v>0.52916666666666667</v>
      </c>
      <c r="E2" s="19">
        <v>0.66666666666666663</v>
      </c>
      <c r="F2" s="12">
        <v>0</v>
      </c>
      <c r="G2" s="12">
        <f>SUM(C2 - B2) * 24</f>
        <v>4.9833333333333343</v>
      </c>
      <c r="H2" s="13">
        <f>SUM(E2 - D2) * 24</f>
        <v>3.2999999999999989</v>
      </c>
      <c r="I2" s="4">
        <f>G2 + H2 + F2</f>
        <v>8.2833333333333332</v>
      </c>
      <c r="J2" s="23">
        <f>IF(AND(C2 &lt;&gt; "", D2 &lt;&gt; ""), (SUM(D2 - C2) * 1440), " - ")</f>
        <v>47.999999999999986</v>
      </c>
      <c r="K2" s="24">
        <f>IF(AND((B2 &lt;&gt; ""), (C2 &lt;&gt; ""), (D2 &lt;&gt; ""), (E2 &lt;&gt; "")), IF((((8 - I2) * 60) + 1) &gt; 0, (((8 - I2) * 60) + 1), (((8 - I2) * 60) - 1)), "-")</f>
        <v>-17.999999999999993</v>
      </c>
      <c r="L2" s="33"/>
    </row>
    <row r="3" spans="1:12" x14ac:dyDescent="0.35">
      <c r="A3" s="17" t="s">
        <v>6</v>
      </c>
      <c r="B3" s="18">
        <v>0.28819444444444442</v>
      </c>
      <c r="C3" s="18">
        <v>0.52222222222222225</v>
      </c>
      <c r="D3" s="18">
        <v>0.55138888888888893</v>
      </c>
      <c r="E3" s="19">
        <v>0.66666666666666663</v>
      </c>
      <c r="F3" s="13">
        <v>0</v>
      </c>
      <c r="G3" s="12">
        <f>SUM(C3 - B3) * 24</f>
        <v>5.616666666666668</v>
      </c>
      <c r="H3" s="13">
        <f>SUM(E3 - D3) * 24</f>
        <v>2.7666666666666648</v>
      </c>
      <c r="I3" s="4">
        <f t="shared" ref="I3:I6" si="0">G3 + H3 + F3</f>
        <v>8.3833333333333329</v>
      </c>
      <c r="J3" s="23">
        <f>IF(AND(C3 &lt;&gt; "", D3 &lt;&gt; ""), (SUM(D3 - C3) * 1440), " - ")</f>
        <v>42.000000000000014</v>
      </c>
      <c r="K3" s="24">
        <f>IF(AND((B3 &lt;&gt; ""), (C3 &lt;&gt; ""), (D3 &lt;&gt; ""), (E3 &lt;&gt; "")), IF((((8 - I3) * 60) + 1) &gt; 0, (((8 - I3) * 60) + 1), (((8 - I3) * 60) - 1)), "-")</f>
        <v>-23.999999999999972</v>
      </c>
    </row>
    <row r="4" spans="1:12" x14ac:dyDescent="0.35">
      <c r="A4" s="17" t="s">
        <v>7</v>
      </c>
      <c r="B4" s="18">
        <v>0.28819444444444442</v>
      </c>
      <c r="C4" s="18">
        <v>0.50069444444444444</v>
      </c>
      <c r="D4" s="18">
        <v>0.53263888888888888</v>
      </c>
      <c r="E4" s="19">
        <v>0.66666666666666663</v>
      </c>
      <c r="F4" s="20">
        <v>0</v>
      </c>
      <c r="G4" s="12">
        <f t="shared" ref="G4:G5" si="1">SUM(C4 - B4) * 24</f>
        <v>5.1000000000000005</v>
      </c>
      <c r="H4" s="13">
        <f t="shared" ref="H4:H6" si="2">SUM(E4 - D4) * 24</f>
        <v>3.2166666666666659</v>
      </c>
      <c r="I4" s="4">
        <f t="shared" si="0"/>
        <v>8.3166666666666664</v>
      </c>
      <c r="J4" s="23">
        <f t="shared" ref="J4:J6" si="3">IF(AND(C4 &lt;&gt; "", D4 &lt;&gt; ""), (SUM(D4 - C4) * 1440), " - ")</f>
        <v>46</v>
      </c>
      <c r="K4" s="24">
        <f t="shared" ref="K4:K5" si="4">IF(AND((B4 &lt;&gt; ""), (C4 &lt;&gt; ""), (D4 &lt;&gt; ""), (E4 &lt;&gt; "")), IF((((8 - I4) * 60) + 1) &gt; 0, (((8 - I4) * 60) + 1), (((8 - I4) * 60) - 1)), "-")</f>
        <v>-19.999999999999986</v>
      </c>
    </row>
    <row r="5" spans="1:12" x14ac:dyDescent="0.35">
      <c r="A5" s="17" t="s">
        <v>8</v>
      </c>
      <c r="B5" s="18">
        <v>0.28819444444444442</v>
      </c>
      <c r="C5" s="18">
        <v>0.52708333333333335</v>
      </c>
      <c r="D5" s="18">
        <v>0.55694444444444446</v>
      </c>
      <c r="E5" s="19">
        <v>0.66666666666666663</v>
      </c>
      <c r="F5" s="20">
        <v>0</v>
      </c>
      <c r="G5" s="12">
        <f t="shared" si="1"/>
        <v>5.7333333333333343</v>
      </c>
      <c r="H5" s="13">
        <f t="shared" si="2"/>
        <v>2.633333333333332</v>
      </c>
      <c r="I5" s="4">
        <f t="shared" si="0"/>
        <v>8.3666666666666671</v>
      </c>
      <c r="J5" s="23">
        <f t="shared" si="3"/>
        <v>43.000000000000007</v>
      </c>
      <c r="K5" s="24">
        <f t="shared" si="4"/>
        <v>-23.000000000000028</v>
      </c>
    </row>
    <row r="6" spans="1:12" ht="24" thickBot="1" x14ac:dyDescent="0.4">
      <c r="A6" s="15" t="s">
        <v>9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8"/>
      <c r="H7" s="2" t="s">
        <v>10</v>
      </c>
      <c r="I7" s="5">
        <f>SUM(I2:I6)</f>
        <v>41.349999999999994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-1.3499999999999943</v>
      </c>
      <c r="J9" s="9"/>
    </row>
  </sheetData>
  <conditionalFormatting sqref="I2:I6">
    <cfRule type="cellIs" dxfId="185" priority="4" operator="greaterThan">
      <formula>7.99999999</formula>
    </cfRule>
    <cfRule type="cellIs" dxfId="184" priority="5" operator="lessThan">
      <formula>8</formula>
    </cfRule>
  </conditionalFormatting>
  <conditionalFormatting sqref="I7">
    <cfRule type="cellIs" dxfId="183" priority="6" operator="lessThan">
      <formula>40</formula>
    </cfRule>
    <cfRule type="cellIs" dxfId="182" priority="7" operator="greaterThan">
      <formula>39.999999</formula>
    </cfRule>
  </conditionalFormatting>
  <conditionalFormatting sqref="K2:K6">
    <cfRule type="cellIs" dxfId="181" priority="1" operator="equal">
      <formula>"-"</formula>
    </cfRule>
    <cfRule type="cellIs" dxfId="180" priority="2" operator="greaterThan">
      <formula>0.1</formula>
    </cfRule>
    <cfRule type="cellIs" dxfId="179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077F-5AC8-440F-B125-B567646F2002}">
  <sheetPr codeName="Sheet29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0.52500000000000002</v>
      </c>
      <c r="D2" s="18">
        <v>0.55694444444444446</v>
      </c>
      <c r="E2" s="19">
        <v>0.66666666666666663</v>
      </c>
      <c r="F2" s="12">
        <v>0</v>
      </c>
      <c r="G2" s="12">
        <f>SUM(C2 - B2) * 24</f>
        <v>5.6833333333333345</v>
      </c>
      <c r="H2" s="13">
        <f>SUM(E2 - D2) * 24</f>
        <v>2.633333333333332</v>
      </c>
      <c r="I2" s="4">
        <f>G2 + H2 + F2</f>
        <v>8.3166666666666664</v>
      </c>
      <c r="J2" s="23">
        <f>IF(AND(C2 &lt;&gt; "", D2 &lt;&gt; ""), (SUM(D2 - C2) * 1440), " - ")</f>
        <v>46</v>
      </c>
      <c r="K2" s="24">
        <f>IF(AND((B2 &lt;&gt; ""), (C2 &lt;&gt; ""), (D2 &lt;&gt; ""), (E2 &lt;&gt; "")), IF((((8 - I2) * 60) + 1) &gt; 0, (((8 - I2) * 60) + 1), (((8 - I2) * 60) - 1)), "-")</f>
        <v>-19.999999999999986</v>
      </c>
      <c r="L2" s="33"/>
    </row>
    <row r="3" spans="1:12" x14ac:dyDescent="0.35">
      <c r="A3" s="17" t="s">
        <v>6</v>
      </c>
      <c r="B3" s="18">
        <v>0.28819444444444442</v>
      </c>
      <c r="C3" s="18">
        <v>0.52152777777777781</v>
      </c>
      <c r="D3" s="18">
        <v>0.5541666666666667</v>
      </c>
      <c r="E3" s="19">
        <v>0.66666666666666663</v>
      </c>
      <c r="F3" s="13">
        <v>0</v>
      </c>
      <c r="G3" s="12">
        <f>SUM(C3 - B3) * 24</f>
        <v>5.6000000000000014</v>
      </c>
      <c r="H3" s="13">
        <f>SUM(E3 - D3) * 24</f>
        <v>2.6999999999999984</v>
      </c>
      <c r="I3" s="4">
        <f t="shared" ref="I3:I6" si="0">G3 + H3 + F3</f>
        <v>8.3000000000000007</v>
      </c>
      <c r="J3" s="23">
        <f>IF(AND(C3 &lt;&gt; "", D3 &lt;&gt; ""), (SUM(D3 - C3) * 1440), " - ")</f>
        <v>46.999999999999993</v>
      </c>
      <c r="K3" s="24">
        <f>IF(AND((B3 &lt;&gt; ""), (C3 &lt;&gt; ""), (D3 &lt;&gt; ""), (E3 &lt;&gt; "")), IF((((8 - I3) * 60) + 1) &gt; 0, (((8 - I3) * 60) + 1), (((8 - I3) * 60) - 1)), "-")</f>
        <v>-19.000000000000043</v>
      </c>
    </row>
    <row r="4" spans="1:12" x14ac:dyDescent="0.35">
      <c r="A4" s="17" t="s">
        <v>7</v>
      </c>
      <c r="B4" s="18">
        <v>0.28819444444444442</v>
      </c>
      <c r="C4" s="18">
        <v>0.52847222222222223</v>
      </c>
      <c r="D4" s="18">
        <v>0.55972222222222223</v>
      </c>
      <c r="E4" s="19">
        <v>0.66666666666666663</v>
      </c>
      <c r="F4" s="20">
        <v>0</v>
      </c>
      <c r="G4" s="12">
        <f t="shared" ref="G4:G5" si="1">SUM(C4 - B4) * 24</f>
        <v>5.7666666666666675</v>
      </c>
      <c r="H4" s="13">
        <f t="shared" ref="H4:H6" si="2">SUM(E4 - D4) * 24</f>
        <v>2.5666666666666655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2" x14ac:dyDescent="0.35">
      <c r="A5" s="17" t="s">
        <v>8</v>
      </c>
      <c r="B5" s="18">
        <v>0.28819444444444442</v>
      </c>
      <c r="C5" s="18">
        <v>0.50624999999999998</v>
      </c>
      <c r="D5" s="18">
        <v>0.53749999999999998</v>
      </c>
      <c r="E5" s="19">
        <v>0.66666666666666663</v>
      </c>
      <c r="F5" s="20">
        <v>0</v>
      </c>
      <c r="G5" s="12">
        <f t="shared" si="1"/>
        <v>5.2333333333333334</v>
      </c>
      <c r="H5" s="13">
        <f t="shared" si="2"/>
        <v>3.0999999999999996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2" ht="24" thickBot="1" x14ac:dyDescent="0.4">
      <c r="A6" s="15" t="s">
        <v>9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8"/>
      <c r="H7" s="2" t="s">
        <v>10</v>
      </c>
      <c r="I7" s="5">
        <f>SUM(I2:I6)</f>
        <v>41.283333333333331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-1.2833333333333314</v>
      </c>
      <c r="J9" s="9"/>
    </row>
  </sheetData>
  <conditionalFormatting sqref="I2:I6">
    <cfRule type="cellIs" dxfId="178" priority="4" operator="greaterThan">
      <formula>7.99999999</formula>
    </cfRule>
    <cfRule type="cellIs" dxfId="177" priority="5" operator="lessThan">
      <formula>8</formula>
    </cfRule>
  </conditionalFormatting>
  <conditionalFormatting sqref="I7">
    <cfRule type="cellIs" dxfId="176" priority="6" operator="lessThan">
      <formula>40</formula>
    </cfRule>
    <cfRule type="cellIs" dxfId="175" priority="7" operator="greaterThan">
      <formula>39.999999</formula>
    </cfRule>
  </conditionalFormatting>
  <conditionalFormatting sqref="K2:K6">
    <cfRule type="cellIs" dxfId="174" priority="1" operator="equal">
      <formula>"-"</formula>
    </cfRule>
    <cfRule type="cellIs" dxfId="173" priority="2" operator="greaterThan">
      <formula>0.1</formula>
    </cfRule>
    <cfRule type="cellIs" dxfId="172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CAF9-3D57-4D34-B634-0A561F42A970}">
  <sheetPr codeName="Sheet30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0.49861111111111112</v>
      </c>
      <c r="D2" s="18">
        <v>0.53402777777777777</v>
      </c>
      <c r="E2" s="19">
        <v>0.66666666666666663</v>
      </c>
      <c r="F2" s="12">
        <v>0</v>
      </c>
      <c r="G2" s="12">
        <f>SUM(C2 - B2) * 24</f>
        <v>5.0500000000000007</v>
      </c>
      <c r="H2" s="13">
        <f>SUM(E2 - D2) * 24</f>
        <v>3.1833333333333327</v>
      </c>
      <c r="I2" s="4">
        <f>G2 + H2 + F2</f>
        <v>8.2333333333333343</v>
      </c>
      <c r="J2" s="23">
        <f>IF(AND(C2 &lt;&gt; "", D2 &lt;&gt; ""), (SUM(D2 - C2) * 1440), " - ")</f>
        <v>50.999999999999979</v>
      </c>
      <c r="K2" s="24">
        <f>IF(AND((B2 &lt;&gt; ""), (C2 &lt;&gt; ""), (D2 &lt;&gt; ""), (E2 &lt;&gt; "")), IF((((8 - I2) * 60) + 1) &gt; 0, (((8 - I2) * 60) + 1), (((8 - I2) * 60) - 1)), "-")</f>
        <v>-15.000000000000057</v>
      </c>
      <c r="L2" s="33"/>
    </row>
    <row r="3" spans="1:12" x14ac:dyDescent="0.35">
      <c r="A3" s="17" t="s">
        <v>6</v>
      </c>
      <c r="B3" s="18">
        <v>0.29236111111111113</v>
      </c>
      <c r="C3" s="18">
        <v>0.4861111111111111</v>
      </c>
      <c r="D3" s="18">
        <v>0.51875000000000004</v>
      </c>
      <c r="E3" s="19">
        <v>0.66666666666666663</v>
      </c>
      <c r="F3" s="13">
        <v>0</v>
      </c>
      <c r="G3" s="12">
        <f>SUM(C3 - B3) * 24</f>
        <v>4.6499999999999995</v>
      </c>
      <c r="H3" s="13">
        <f>SUM(E3 - D3) * 24</f>
        <v>3.549999999999998</v>
      </c>
      <c r="I3" s="4">
        <f t="shared" ref="I3:I6" si="0">G3 + H3 + F3</f>
        <v>8.1999999999999975</v>
      </c>
      <c r="J3" s="23">
        <f>IF(AND(C3 &lt;&gt; "", D3 &lt;&gt; ""), (SUM(D3 - C3) * 1440), " - ")</f>
        <v>47.000000000000071</v>
      </c>
      <c r="K3" s="24">
        <f>IF(AND((B3 &lt;&gt; ""), (C3 &lt;&gt; ""), (D3 &lt;&gt; ""), (E3 &lt;&gt; "")), IF((((8 - I3) * 60) + 1) &gt; 0, (((8 - I3) * 60) + 1), (((8 - I3) * 60) - 1)), "-")</f>
        <v>-12.999999999999851</v>
      </c>
    </row>
    <row r="4" spans="1:12" x14ac:dyDescent="0.35">
      <c r="A4" s="17" t="s">
        <v>7</v>
      </c>
      <c r="B4" s="18">
        <v>0.28819444444444442</v>
      </c>
      <c r="C4" s="18">
        <v>0.56874999999999998</v>
      </c>
      <c r="D4" s="18">
        <v>0.60138888888888886</v>
      </c>
      <c r="E4" s="19">
        <v>0.66666666666666663</v>
      </c>
      <c r="F4" s="20">
        <v>0</v>
      </c>
      <c r="G4" s="12">
        <f t="shared" ref="G4:G5" si="1">SUM(C4 - B4) * 24</f>
        <v>6.7333333333333334</v>
      </c>
      <c r="H4" s="13">
        <f t="shared" ref="H4:H6" si="2">SUM(E4 - D4) * 24</f>
        <v>1.5666666666666664</v>
      </c>
      <c r="I4" s="4">
        <f t="shared" si="0"/>
        <v>8.3000000000000007</v>
      </c>
      <c r="J4" s="23">
        <f t="shared" ref="J4:J6" si="3">IF(AND(C4 &lt;&gt; "", D4 &lt;&gt; ""), (SUM(D4 - C4) * 1440), " - ")</f>
        <v>46.999999999999993</v>
      </c>
      <c r="K4" s="24">
        <f t="shared" ref="K4:K5" si="4">IF(AND((B4 &lt;&gt; ""), (C4 &lt;&gt; ""), (D4 &lt;&gt; ""), (E4 &lt;&gt; "")), IF((((8 - I4) * 60) + 1) &gt; 0, (((8 - I4) * 60) + 1), (((8 - I4) * 60) - 1)), "-")</f>
        <v>-19.000000000000043</v>
      </c>
    </row>
    <row r="5" spans="1:12" x14ac:dyDescent="0.35">
      <c r="A5" s="17" t="s">
        <v>8</v>
      </c>
      <c r="B5" s="18">
        <v>0.28819444444444442</v>
      </c>
      <c r="C5" s="18">
        <v>0.5</v>
      </c>
      <c r="D5" s="18">
        <v>0.52847222222222223</v>
      </c>
      <c r="E5" s="19">
        <v>0.66666666666666663</v>
      </c>
      <c r="F5" s="20">
        <v>0</v>
      </c>
      <c r="G5" s="12">
        <f t="shared" si="1"/>
        <v>5.0833333333333339</v>
      </c>
      <c r="H5" s="13">
        <f t="shared" si="2"/>
        <v>3.3166666666666655</v>
      </c>
      <c r="I5" s="4">
        <f t="shared" si="0"/>
        <v>8.3999999999999986</v>
      </c>
      <c r="J5" s="23">
        <f t="shared" si="3"/>
        <v>41.000000000000014</v>
      </c>
      <c r="K5" s="24">
        <f t="shared" si="4"/>
        <v>-24.999999999999915</v>
      </c>
    </row>
    <row r="6" spans="1:12" ht="24" thickBot="1" x14ac:dyDescent="0.4">
      <c r="A6" s="15" t="s">
        <v>9</v>
      </c>
      <c r="B6" s="18">
        <v>0.28819444444444442</v>
      </c>
      <c r="C6" s="18">
        <v>0.54236111111111107</v>
      </c>
      <c r="D6" s="18">
        <v>0.57361111111111107</v>
      </c>
      <c r="E6" s="19">
        <v>0.66666666666666663</v>
      </c>
      <c r="F6" s="13">
        <v>0</v>
      </c>
      <c r="G6" s="12">
        <f>SUM(C6 - B6) * 24</f>
        <v>6.1</v>
      </c>
      <c r="H6" s="13">
        <f t="shared" si="2"/>
        <v>2.2333333333333334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2" ht="36.75" thickBot="1" x14ac:dyDescent="0.6">
      <c r="B7" s="8"/>
      <c r="H7" s="2" t="s">
        <v>10</v>
      </c>
      <c r="I7" s="5">
        <f>SUM(I2:I6)</f>
        <v>41.466666666666654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-1.4666666666666544</v>
      </c>
      <c r="J9" s="9"/>
    </row>
  </sheetData>
  <conditionalFormatting sqref="I2:I6">
    <cfRule type="cellIs" dxfId="171" priority="4" operator="greaterThan">
      <formula>7.99999999</formula>
    </cfRule>
    <cfRule type="cellIs" dxfId="170" priority="5" operator="lessThan">
      <formula>8</formula>
    </cfRule>
  </conditionalFormatting>
  <conditionalFormatting sqref="I7">
    <cfRule type="cellIs" dxfId="169" priority="6" operator="lessThan">
      <formula>40</formula>
    </cfRule>
    <cfRule type="cellIs" dxfId="168" priority="7" operator="greaterThan">
      <formula>39.999999</formula>
    </cfRule>
  </conditionalFormatting>
  <conditionalFormatting sqref="K2:K6">
    <cfRule type="cellIs" dxfId="167" priority="1" operator="equal">
      <formula>"-"</formula>
    </cfRule>
    <cfRule type="cellIs" dxfId="166" priority="2" operator="greaterThan">
      <formula>0.1</formula>
    </cfRule>
    <cfRule type="cellIs" dxfId="165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92C7-1B30-4F13-B8B4-4DB6540B19C5}">
  <sheetPr codeName="Sheet31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0.51597222222222228</v>
      </c>
      <c r="D2" s="18">
        <v>0.5493055555555556</v>
      </c>
      <c r="E2" s="19">
        <v>0.66666666666666663</v>
      </c>
      <c r="F2" s="12">
        <v>0</v>
      </c>
      <c r="G2" s="12">
        <f>SUM(C2 - B2) * 24</f>
        <v>5.4666666666666686</v>
      </c>
      <c r="H2" s="13">
        <f>SUM(E2 - D2) * 24</f>
        <v>2.8166666666666647</v>
      </c>
      <c r="I2" s="4">
        <f>G2 + H2 + F2</f>
        <v>8.2833333333333332</v>
      </c>
      <c r="J2" s="23">
        <f>IF(AND(C2 &lt;&gt; "", D2 &lt;&gt; ""), (SUM(D2 - C2) * 1440), " - ")</f>
        <v>47.999999999999986</v>
      </c>
      <c r="K2" s="24">
        <f>IF(AND((B2 &lt;&gt; ""), (C2 &lt;&gt; ""), (D2 &lt;&gt; ""), (E2 &lt;&gt; "")), IF((((8 - I2) * 60) + 1) &gt; 0, (((8 - I2) * 60) + 1), (((8 - I2) * 60) - 1)), "-")</f>
        <v>-17.999999999999993</v>
      </c>
      <c r="L2" s="33"/>
    </row>
    <row r="3" spans="1:12" x14ac:dyDescent="0.35">
      <c r="A3" s="17" t="s">
        <v>6</v>
      </c>
      <c r="B3" s="18">
        <v>0.28819444444444442</v>
      </c>
      <c r="C3" s="18">
        <v>0.56319444444444444</v>
      </c>
      <c r="D3" s="18">
        <v>0.59513888888888888</v>
      </c>
      <c r="E3" s="19">
        <v>0.66666666666666663</v>
      </c>
      <c r="F3" s="13">
        <v>0</v>
      </c>
      <c r="G3" s="12">
        <f>SUM(C3 - B3) * 24</f>
        <v>6.6000000000000005</v>
      </c>
      <c r="H3" s="13">
        <f>SUM(E3 - D3) * 24</f>
        <v>1.7166666666666659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2" x14ac:dyDescent="0.35">
      <c r="A4" s="17" t="s">
        <v>7</v>
      </c>
      <c r="B4" s="18">
        <v>0.28819444444444442</v>
      </c>
      <c r="C4" s="18">
        <v>0.57291666666666663</v>
      </c>
      <c r="D4" s="18">
        <v>0.60624999999999996</v>
      </c>
      <c r="E4" s="19">
        <v>0.66666666666666663</v>
      </c>
      <c r="F4" s="20">
        <v>0</v>
      </c>
      <c r="G4" s="12">
        <f t="shared" ref="G4:G5" si="1">SUM(C4 - B4) * 24</f>
        <v>6.833333333333333</v>
      </c>
      <c r="H4" s="13">
        <f t="shared" ref="H4:H6" si="2">SUM(E4 - D4) * 24</f>
        <v>1.4500000000000002</v>
      </c>
      <c r="I4" s="4">
        <f t="shared" si="0"/>
        <v>8.2833333333333332</v>
      </c>
      <c r="J4" s="23">
        <f t="shared" ref="J4:J6" si="3">IF(AND(C4 &lt;&gt; "", D4 &lt;&gt; ""), (SUM(D4 - C4) * 1440), " - ")</f>
        <v>47.999999999999986</v>
      </c>
      <c r="K4" s="24">
        <f t="shared" ref="K4:K5" si="4">IF(AND((B4 &lt;&gt; ""), (C4 &lt;&gt; ""), (D4 &lt;&gt; ""), (E4 &lt;&gt; "")), IF((((8 - I4) * 60) + 1) &gt; 0, (((8 - I4) * 60) + 1), (((8 - I4) * 60) - 1)), "-")</f>
        <v>-17.999999999999993</v>
      </c>
    </row>
    <row r="5" spans="1:12" x14ac:dyDescent="0.35">
      <c r="A5" s="17" t="s">
        <v>8</v>
      </c>
      <c r="B5" s="31"/>
      <c r="C5" s="31"/>
      <c r="D5" s="31"/>
      <c r="E5" s="32"/>
      <c r="F5" s="20">
        <v>8</v>
      </c>
      <c r="G5" s="12">
        <f t="shared" si="1"/>
        <v>0</v>
      </c>
      <c r="H5" s="13">
        <f t="shared" si="2"/>
        <v>0</v>
      </c>
      <c r="I5" s="4">
        <f t="shared" si="0"/>
        <v>8</v>
      </c>
      <c r="J5" s="23" t="str">
        <f t="shared" si="3"/>
        <v xml:space="preserve"> - </v>
      </c>
      <c r="K5" s="24" t="str">
        <f t="shared" si="4"/>
        <v>-</v>
      </c>
    </row>
    <row r="6" spans="1:12" ht="24" thickBot="1" x14ac:dyDescent="0.4">
      <c r="A6" s="15" t="s">
        <v>9</v>
      </c>
      <c r="B6" s="18">
        <v>0.28819444444444442</v>
      </c>
      <c r="C6" s="18">
        <v>0.51388888888888884</v>
      </c>
      <c r="D6" s="18">
        <v>0.54583333333333328</v>
      </c>
      <c r="E6" s="19">
        <v>0.66666666666666663</v>
      </c>
      <c r="F6" s="13">
        <v>0</v>
      </c>
      <c r="G6" s="12">
        <f>SUM(C6 - B6) * 24</f>
        <v>5.4166666666666661</v>
      </c>
      <c r="H6" s="13">
        <f t="shared" si="2"/>
        <v>2.9000000000000004</v>
      </c>
      <c r="I6" s="4">
        <f t="shared" si="0"/>
        <v>8.3166666666666664</v>
      </c>
      <c r="J6" s="23">
        <f t="shared" si="3"/>
        <v>46</v>
      </c>
      <c r="K6" s="24">
        <f>IF(AND((B6 &lt;&gt; ""), (C6 &lt;&gt; ""), (D6 &lt;&gt; ""), (E6 &lt;&gt; "")), IF((((8 - I6) * 60) + 1) &gt; 0, (((8 - I6) * 60) + 1), (((8 - I6) * 60) - 1)), "-")</f>
        <v>-19.999999999999986</v>
      </c>
    </row>
    <row r="7" spans="1:12" ht="36.75" thickBot="1" x14ac:dyDescent="0.6">
      <c r="B7" s="8"/>
      <c r="H7" s="2" t="s">
        <v>10</v>
      </c>
      <c r="I7" s="5">
        <f>SUM(I2:I6)</f>
        <v>41.2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-1.2000000000000028</v>
      </c>
      <c r="J9" s="9"/>
    </row>
  </sheetData>
  <conditionalFormatting sqref="I2:I6">
    <cfRule type="cellIs" dxfId="164" priority="4" operator="greaterThan">
      <formula>7.99999999</formula>
    </cfRule>
    <cfRule type="cellIs" dxfId="163" priority="5" operator="lessThan">
      <formula>8</formula>
    </cfRule>
  </conditionalFormatting>
  <conditionalFormatting sqref="I7">
    <cfRule type="cellIs" dxfId="162" priority="6" operator="lessThan">
      <formula>40</formula>
    </cfRule>
    <cfRule type="cellIs" dxfId="161" priority="7" operator="greaterThan">
      <formula>39.999999</formula>
    </cfRule>
  </conditionalFormatting>
  <conditionalFormatting sqref="K2:K6">
    <cfRule type="cellIs" dxfId="160" priority="1" operator="equal">
      <formula>"-"</formula>
    </cfRule>
    <cfRule type="cellIs" dxfId="159" priority="2" operator="greaterThan">
      <formula>0.1</formula>
    </cfRule>
    <cfRule type="cellIs" dxfId="158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540A-6934-4029-ADE6-09D47282639A}">
  <sheetPr codeName="Sheet32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0.55000000000000004</v>
      </c>
      <c r="D2" s="18">
        <v>0.58125000000000004</v>
      </c>
      <c r="E2" s="19">
        <v>0.66666666666666663</v>
      </c>
      <c r="F2" s="12">
        <v>0</v>
      </c>
      <c r="G2" s="12">
        <f>SUM(C2 - B2) * 24</f>
        <v>6.283333333333335</v>
      </c>
      <c r="H2" s="13">
        <f>SUM(E2 - D2) * 24</f>
        <v>2.049999999999998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  <c r="L2" s="33"/>
    </row>
    <row r="3" spans="1:12" x14ac:dyDescent="0.35">
      <c r="A3" s="17" t="s">
        <v>6</v>
      </c>
      <c r="B3" s="18">
        <v>0.28819444444444442</v>
      </c>
      <c r="C3" s="18">
        <v>0.51041666666666663</v>
      </c>
      <c r="D3" s="18">
        <v>0.54305555555555551</v>
      </c>
      <c r="E3" s="19">
        <v>0.66666666666666663</v>
      </c>
      <c r="F3" s="13">
        <v>0</v>
      </c>
      <c r="G3" s="12">
        <f>SUM(C3 - B3) * 24</f>
        <v>5.333333333333333</v>
      </c>
      <c r="H3" s="13">
        <f>SUM(E3 - D3) * 24</f>
        <v>2.9666666666666668</v>
      </c>
      <c r="I3" s="4">
        <f t="shared" ref="I3:I6" si="0">G3 + H3 + F3</f>
        <v>8.3000000000000007</v>
      </c>
      <c r="J3" s="23">
        <f>IF(AND(C3 &lt;&gt; "", D3 &lt;&gt; ""), (SUM(D3 - C3) * 1440), " - ")</f>
        <v>46.999999999999993</v>
      </c>
      <c r="K3" s="24">
        <f>IF(AND((B3 &lt;&gt; ""), (C3 &lt;&gt; ""), (D3 &lt;&gt; ""), (E3 &lt;&gt; "")), IF((((8 - I3) * 60) + 1) &gt; 0, (((8 - I3) * 60) + 1), (((8 - I3) * 60) - 1)), "-")</f>
        <v>-19.000000000000043</v>
      </c>
    </row>
    <row r="4" spans="1:12" x14ac:dyDescent="0.35">
      <c r="A4" s="17" t="s">
        <v>7</v>
      </c>
      <c r="B4" s="18">
        <v>0.28819444444444442</v>
      </c>
      <c r="C4" s="18">
        <v>0.4826388888888889</v>
      </c>
      <c r="D4" s="18">
        <v>0.51388888888888884</v>
      </c>
      <c r="E4" s="19">
        <v>0.66666666666666663</v>
      </c>
      <c r="F4" s="20">
        <v>0</v>
      </c>
      <c r="G4" s="12">
        <f t="shared" ref="G4:G5" si="1">SUM(C4 - B4) * 24</f>
        <v>4.6666666666666679</v>
      </c>
      <c r="H4" s="13">
        <f t="shared" ref="H4:H6" si="2">SUM(E4 - D4) * 24</f>
        <v>3.666666666666667</v>
      </c>
      <c r="I4" s="4">
        <f t="shared" si="0"/>
        <v>8.3333333333333357</v>
      </c>
      <c r="J4" s="23">
        <f t="shared" ref="J4:J6" si="3">IF(AND(C4 &lt;&gt; "", D4 &lt;&gt; ""), (SUM(D4 - C4) * 1440), " - ")</f>
        <v>44.999999999999922</v>
      </c>
      <c r="K4" s="24">
        <f t="shared" ref="K4:K5" si="4">IF(AND((B4 &lt;&gt; ""), (C4 &lt;&gt; ""), (D4 &lt;&gt; ""), (E4 &lt;&gt; "")), IF((((8 - I4) * 60) + 1) &gt; 0, (((8 - I4) * 60) + 1), (((8 - I4) * 60) - 1)), "-")</f>
        <v>-21.000000000000142</v>
      </c>
    </row>
    <row r="5" spans="1:12" x14ac:dyDescent="0.35">
      <c r="A5" s="17" t="s">
        <v>8</v>
      </c>
      <c r="B5" s="18">
        <v>0.28888888888888886</v>
      </c>
      <c r="C5" s="18">
        <v>0.49444444444444446</v>
      </c>
      <c r="D5" s="18">
        <v>0.52361111111111114</v>
      </c>
      <c r="E5" s="19">
        <v>0.66666666666666663</v>
      </c>
      <c r="F5" s="20">
        <v>0</v>
      </c>
      <c r="G5" s="12">
        <f t="shared" si="1"/>
        <v>4.9333333333333345</v>
      </c>
      <c r="H5" s="13">
        <f t="shared" si="2"/>
        <v>3.4333333333333318</v>
      </c>
      <c r="I5" s="4">
        <f t="shared" si="0"/>
        <v>8.3666666666666671</v>
      </c>
      <c r="J5" s="23">
        <f t="shared" si="3"/>
        <v>42.000000000000014</v>
      </c>
      <c r="K5" s="24">
        <f t="shared" si="4"/>
        <v>-23.000000000000028</v>
      </c>
    </row>
    <row r="6" spans="1:12" ht="24" thickBot="1" x14ac:dyDescent="0.4">
      <c r="A6" s="15" t="s">
        <v>9</v>
      </c>
      <c r="B6" s="18">
        <v>0.28819444444444442</v>
      </c>
      <c r="C6" s="18">
        <v>0.50486111111111109</v>
      </c>
      <c r="D6" s="18">
        <v>0.53680555555555554</v>
      </c>
      <c r="E6" s="19">
        <v>0.66666666666666663</v>
      </c>
      <c r="F6" s="13">
        <v>0</v>
      </c>
      <c r="G6" s="12">
        <f>SUM(C6 - B6) * 24</f>
        <v>5.2</v>
      </c>
      <c r="H6" s="13">
        <f t="shared" si="2"/>
        <v>3.1166666666666663</v>
      </c>
      <c r="I6" s="4">
        <f t="shared" si="0"/>
        <v>8.3166666666666664</v>
      </c>
      <c r="J6" s="23">
        <f t="shared" si="3"/>
        <v>46</v>
      </c>
      <c r="K6" s="24">
        <f>IF(AND((B6 &lt;&gt; ""), (C6 &lt;&gt; ""), (D6 &lt;&gt; ""), (E6 &lt;&gt; "")), IF((((8 - I6) * 60) + 1) &gt; 0, (((8 - I6) * 60) + 1), (((8 - I6) * 60) - 1)), "-")</f>
        <v>-19.999999999999986</v>
      </c>
    </row>
    <row r="7" spans="1:12" ht="36.75" thickBot="1" x14ac:dyDescent="0.6">
      <c r="B7" s="8"/>
      <c r="H7" s="2" t="s">
        <v>10</v>
      </c>
      <c r="I7" s="5">
        <f>SUM(I2:I6)</f>
        <v>41.650000000000006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-1.6500000000000057</v>
      </c>
      <c r="J9" s="9"/>
    </row>
  </sheetData>
  <conditionalFormatting sqref="I2:I6">
    <cfRule type="cellIs" dxfId="157" priority="4" operator="greaterThan">
      <formula>7.99999999</formula>
    </cfRule>
    <cfRule type="cellIs" dxfId="156" priority="5" operator="lessThan">
      <formula>8</formula>
    </cfRule>
  </conditionalFormatting>
  <conditionalFormatting sqref="I7">
    <cfRule type="cellIs" dxfId="155" priority="6" operator="lessThan">
      <formula>40</formula>
    </cfRule>
    <cfRule type="cellIs" dxfId="154" priority="7" operator="greaterThan">
      <formula>39.999999</formula>
    </cfRule>
  </conditionalFormatting>
  <conditionalFormatting sqref="K2:K6">
    <cfRule type="cellIs" dxfId="153" priority="1" operator="equal">
      <formula>"-"</formula>
    </cfRule>
    <cfRule type="cellIs" dxfId="152" priority="2" operator="greaterThan">
      <formula>0.1</formula>
    </cfRule>
    <cfRule type="cellIs" dxfId="15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1DE-C115-4B4B-9B42-B39D73FACE8A}">
  <sheetPr codeName="Sheet33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0.48888888888888887</v>
      </c>
      <c r="D2" s="18">
        <v>0.52083333333333337</v>
      </c>
      <c r="E2" s="19">
        <v>0.66666666666666663</v>
      </c>
      <c r="F2" s="12">
        <v>0</v>
      </c>
      <c r="G2" s="12">
        <f>SUM(C2 - B2) * 24</f>
        <v>4.8166666666666664</v>
      </c>
      <c r="H2" s="13">
        <f>SUM(E2 - D2) * 24</f>
        <v>3.4999999999999982</v>
      </c>
      <c r="I2" s="4">
        <f>G2 + H2 + F2</f>
        <v>8.3166666666666647</v>
      </c>
      <c r="J2" s="23">
        <f>IF(AND(C2 &lt;&gt; "", D2 &lt;&gt; ""), (SUM(D2 - C2) * 1440), " - ")</f>
        <v>46.000000000000078</v>
      </c>
      <c r="K2" s="24">
        <f>IF(AND((B2 &lt;&gt; ""), (C2 &lt;&gt; ""), (D2 &lt;&gt; ""), (E2 &lt;&gt; "")), IF((((8 - I2) * 60) + 1) &gt; 0, (((8 - I2) * 60) + 1), (((8 - I2) * 60) - 1)), "-")</f>
        <v>-19.999999999999879</v>
      </c>
      <c r="L2" s="33"/>
    </row>
    <row r="3" spans="1:12" x14ac:dyDescent="0.35">
      <c r="A3" s="17" t="s">
        <v>6</v>
      </c>
      <c r="B3" s="18">
        <v>0.28819444444444442</v>
      </c>
      <c r="C3" s="18">
        <v>0.49513888888888891</v>
      </c>
      <c r="D3" s="18">
        <v>0.52708333333333335</v>
      </c>
      <c r="E3" s="19">
        <v>0.66666666666666663</v>
      </c>
      <c r="F3" s="13">
        <v>0</v>
      </c>
      <c r="G3" s="12">
        <f>SUM(C3 - B3) * 24</f>
        <v>4.9666666666666677</v>
      </c>
      <c r="H3" s="13">
        <f>SUM(E3 - D3) * 24</f>
        <v>3.3499999999999988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2" x14ac:dyDescent="0.35">
      <c r="A4" s="17" t="s">
        <v>7</v>
      </c>
      <c r="B4" s="18">
        <v>0.28819444444444442</v>
      </c>
      <c r="C4" s="18">
        <v>0.53125</v>
      </c>
      <c r="D4" s="18">
        <v>0.5625</v>
      </c>
      <c r="E4" s="19">
        <v>0.66666666666666663</v>
      </c>
      <c r="F4" s="20">
        <v>0</v>
      </c>
      <c r="G4" s="12">
        <f t="shared" ref="G4:G5" si="1">SUM(C4 - B4) * 24</f>
        <v>5.8333333333333339</v>
      </c>
      <c r="H4" s="13">
        <f t="shared" ref="H4:H6" si="2">SUM(E4 - D4) * 24</f>
        <v>2.4999999999999991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2" x14ac:dyDescent="0.35">
      <c r="A5" s="17" t="s">
        <v>8</v>
      </c>
      <c r="B5" s="18">
        <v>0.28819444444444442</v>
      </c>
      <c r="C5" s="18">
        <v>0.55208333333333337</v>
      </c>
      <c r="D5" s="18">
        <v>0.58333333333333337</v>
      </c>
      <c r="E5" s="19">
        <v>0.66666666666666663</v>
      </c>
      <c r="F5" s="20">
        <v>0</v>
      </c>
      <c r="G5" s="12">
        <f t="shared" si="1"/>
        <v>6.3333333333333348</v>
      </c>
      <c r="H5" s="13">
        <f t="shared" si="2"/>
        <v>1.9999999999999982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2" ht="24" thickBot="1" x14ac:dyDescent="0.4">
      <c r="A6" s="15" t="s">
        <v>9</v>
      </c>
      <c r="B6" s="18">
        <v>0.28819444444444442</v>
      </c>
      <c r="C6" s="18">
        <v>0.49375000000000002</v>
      </c>
      <c r="D6" s="18">
        <v>0.52500000000000002</v>
      </c>
      <c r="E6" s="19">
        <v>0.66666666666666663</v>
      </c>
      <c r="F6" s="13">
        <v>0</v>
      </c>
      <c r="G6" s="12">
        <f>SUM(C6 - B6) * 24</f>
        <v>4.9333333333333345</v>
      </c>
      <c r="H6" s="13">
        <f t="shared" si="2"/>
        <v>3.3999999999999986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2" ht="36.75" thickBot="1" x14ac:dyDescent="0.6">
      <c r="B7" s="8"/>
      <c r="H7" s="2" t="s">
        <v>10</v>
      </c>
      <c r="I7" s="5">
        <f>SUM(I2:I6)</f>
        <v>41.633333333333326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-1.6333333333333258</v>
      </c>
      <c r="J9" s="9"/>
    </row>
  </sheetData>
  <conditionalFormatting sqref="I2:I6">
    <cfRule type="cellIs" dxfId="150" priority="4" operator="greaterThan">
      <formula>7.99999999</formula>
    </cfRule>
    <cfRule type="cellIs" dxfId="149" priority="5" operator="lessThan">
      <formula>8</formula>
    </cfRule>
  </conditionalFormatting>
  <conditionalFormatting sqref="I7">
    <cfRule type="cellIs" dxfId="148" priority="6" operator="lessThan">
      <formula>40</formula>
    </cfRule>
    <cfRule type="cellIs" dxfId="147" priority="7" operator="greaterThan">
      <formula>39.999999</formula>
    </cfRule>
  </conditionalFormatting>
  <conditionalFormatting sqref="K2:K6">
    <cfRule type="cellIs" dxfId="146" priority="1" operator="equal">
      <formula>"-"</formula>
    </cfRule>
    <cfRule type="cellIs" dxfId="145" priority="2" operator="greaterThan">
      <formula>0.1</formula>
    </cfRule>
    <cfRule type="cellIs" dxfId="14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2C1C-3B97-446A-900B-36BE264EBF1F}">
  <sheetPr codeName="Sheet34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  <c r="L2" s="33"/>
    </row>
    <row r="3" spans="1:12" x14ac:dyDescent="0.35">
      <c r="A3" s="17" t="s">
        <v>6</v>
      </c>
      <c r="B3" s="18">
        <v>0.28819444444444442</v>
      </c>
      <c r="C3" s="18">
        <v>0.49027777777777776</v>
      </c>
      <c r="D3" s="18">
        <v>0.51944444444444449</v>
      </c>
      <c r="E3" s="19">
        <v>0.66666666666666663</v>
      </c>
      <c r="F3" s="13">
        <v>0</v>
      </c>
      <c r="G3" s="12">
        <f>SUM(C3 - B3) * 24</f>
        <v>4.8499999999999996</v>
      </c>
      <c r="H3" s="13">
        <f>SUM(E3 - D3) * 24</f>
        <v>3.5333333333333314</v>
      </c>
      <c r="I3" s="4">
        <f t="shared" ref="I3:I6" si="0">G3 + H3 + F3</f>
        <v>8.3833333333333311</v>
      </c>
      <c r="J3" s="23">
        <f>IF(AND(C3 &lt;&gt; "", D3 &lt;&gt; ""), (SUM(D3 - C3) * 1440), " - ")</f>
        <v>42.000000000000092</v>
      </c>
      <c r="K3" s="24">
        <f>IF(AND((B3 &lt;&gt; ""), (C3 &lt;&gt; ""), (D3 &lt;&gt; ""), (E3 &lt;&gt; "")), IF((((8 - I3) * 60) + 1) &gt; 0, (((8 - I3) * 60) + 1), (((8 - I3) * 60) - 1)), "-")</f>
        <v>-23.999999999999865</v>
      </c>
    </row>
    <row r="4" spans="1:12" x14ac:dyDescent="0.35">
      <c r="A4" s="17" t="s">
        <v>7</v>
      </c>
      <c r="B4" s="18">
        <v>0.28819444444444442</v>
      </c>
      <c r="C4" s="18">
        <v>0.52430555555555558</v>
      </c>
      <c r="D4" s="18">
        <v>0.55763888888888891</v>
      </c>
      <c r="E4" s="19">
        <v>0.66666666666666663</v>
      </c>
      <c r="F4" s="20">
        <v>0</v>
      </c>
      <c r="G4" s="12">
        <f t="shared" ref="G4:G5" si="1">SUM(C4 - B4) * 24</f>
        <v>5.6666666666666679</v>
      </c>
      <c r="H4" s="13">
        <f t="shared" ref="H4:H6" si="2">SUM(E4 - D4) * 24</f>
        <v>2.6166666666666654</v>
      </c>
      <c r="I4" s="4">
        <f t="shared" si="0"/>
        <v>8.2833333333333332</v>
      </c>
      <c r="J4" s="23">
        <f t="shared" ref="J4:J6" si="3">IF(AND(C4 &lt;&gt; "", D4 &lt;&gt; ""), (SUM(D4 - C4) * 1440), " - ")</f>
        <v>47.999999999999986</v>
      </c>
      <c r="K4" s="24">
        <f t="shared" ref="K4:K5" si="4">IF(AND((B4 &lt;&gt; ""), (C4 &lt;&gt; ""), (D4 &lt;&gt; ""), (E4 &lt;&gt; "")), IF((((8 - I4) * 60) + 1) &gt; 0, (((8 - I4) * 60) + 1), (((8 - I4) * 60) - 1)), "-")</f>
        <v>-17.999999999999993</v>
      </c>
    </row>
    <row r="5" spans="1:12" x14ac:dyDescent="0.35">
      <c r="A5" s="17" t="s">
        <v>8</v>
      </c>
      <c r="B5" s="18">
        <v>0.28819444444444442</v>
      </c>
      <c r="C5" s="18">
        <v>0.48402777777777778</v>
      </c>
      <c r="D5" s="18">
        <v>0.51736111111111116</v>
      </c>
      <c r="E5" s="19">
        <v>0.66666666666666663</v>
      </c>
      <c r="F5" s="20">
        <v>0</v>
      </c>
      <c r="G5" s="12">
        <f t="shared" si="1"/>
        <v>4.7000000000000011</v>
      </c>
      <c r="H5" s="13">
        <f t="shared" si="2"/>
        <v>3.5833333333333313</v>
      </c>
      <c r="I5" s="4">
        <f t="shared" si="0"/>
        <v>8.2833333333333314</v>
      </c>
      <c r="J5" s="23">
        <f t="shared" si="3"/>
        <v>48.000000000000071</v>
      </c>
      <c r="K5" s="24">
        <f t="shared" si="4"/>
        <v>-17.999999999999886</v>
      </c>
    </row>
    <row r="6" spans="1:12" ht="24" thickBot="1" x14ac:dyDescent="0.4">
      <c r="A6" s="15" t="s">
        <v>9</v>
      </c>
      <c r="B6" s="18">
        <v>0.28819444444444442</v>
      </c>
      <c r="C6" s="18">
        <v>0.48958333333333331</v>
      </c>
      <c r="D6" s="18">
        <v>0.52430555555555558</v>
      </c>
      <c r="E6" s="19">
        <v>0.65694444444444444</v>
      </c>
      <c r="F6" s="13">
        <v>0</v>
      </c>
      <c r="G6" s="12">
        <f>SUM(C6 - B6) * 24</f>
        <v>4.8333333333333339</v>
      </c>
      <c r="H6" s="13">
        <f t="shared" si="2"/>
        <v>3.1833333333333327</v>
      </c>
      <c r="I6" s="4">
        <f t="shared" si="0"/>
        <v>8.0166666666666657</v>
      </c>
      <c r="J6" s="23">
        <f t="shared" si="3"/>
        <v>50.000000000000064</v>
      </c>
      <c r="K6" s="24">
        <f>IF(AND((B6 &lt;&gt; ""), (C6 &lt;&gt; ""), (D6 &lt;&gt; ""), (E6 &lt;&gt; "")), IF((((8 - I6) * 60) + 1) &gt; 0, (((8 - I6) * 60) + 1), (((8 - I6) * 60) - 1)), "-")</f>
        <v>5.6843418860808015E-14</v>
      </c>
    </row>
    <row r="7" spans="1:12" ht="36.75" thickBot="1" x14ac:dyDescent="0.6">
      <c r="B7" s="8"/>
      <c r="H7" s="2" t="s">
        <v>10</v>
      </c>
      <c r="I7" s="5">
        <f>SUM(I2:I6)</f>
        <v>40.966666666666661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-0.96666666666666146</v>
      </c>
      <c r="J9" s="9"/>
    </row>
  </sheetData>
  <conditionalFormatting sqref="I2:I6">
    <cfRule type="cellIs" dxfId="143" priority="4" operator="greaterThan">
      <formula>7.99999999</formula>
    </cfRule>
    <cfRule type="cellIs" dxfId="142" priority="5" operator="lessThan">
      <formula>8</formula>
    </cfRule>
  </conditionalFormatting>
  <conditionalFormatting sqref="I7">
    <cfRule type="cellIs" dxfId="141" priority="6" operator="lessThan">
      <formula>40</formula>
    </cfRule>
    <cfRule type="cellIs" dxfId="140" priority="7" operator="greaterThan">
      <formula>39.999999</formula>
    </cfRule>
  </conditionalFormatting>
  <conditionalFormatting sqref="K2:K6">
    <cfRule type="cellIs" dxfId="139" priority="1" operator="equal">
      <formula>"-"</formula>
    </cfRule>
    <cfRule type="cellIs" dxfId="138" priority="2" operator="greaterThan">
      <formula>0.1</formula>
    </cfRule>
    <cfRule type="cellIs" dxfId="13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9651-3D4E-44D8-9C4F-56745790CADC}">
  <sheetPr codeName="Sheet35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0.52916666666666667</v>
      </c>
      <c r="D2" s="18">
        <v>0.55833333333333335</v>
      </c>
      <c r="E2" s="19">
        <v>0.66666666666666663</v>
      </c>
      <c r="F2" s="12">
        <v>0</v>
      </c>
      <c r="G2" s="12">
        <f>SUM(C2 - B2) * 24</f>
        <v>5.7833333333333341</v>
      </c>
      <c r="H2" s="13">
        <f>SUM(E2 - D2) * 24</f>
        <v>2.5999999999999988</v>
      </c>
      <c r="I2" s="4">
        <f>G2 + H2 + F2</f>
        <v>8.3833333333333329</v>
      </c>
      <c r="J2" s="23">
        <f>IF(AND(C2 &lt;&gt; "", D2 &lt;&gt; ""), (SUM(D2 - C2) * 1440), " - ")</f>
        <v>42.000000000000014</v>
      </c>
      <c r="K2" s="24">
        <f>IF(AND((B2 &lt;&gt; ""), (C2 &lt;&gt; ""), (D2 &lt;&gt; ""), (E2 &lt;&gt; "")), IF((((8 - I2) * 60) + 1) &gt; 0, (((8 - I2) * 60) + 1), (((8 - I2) * 60) - 1)), "-")</f>
        <v>-23.999999999999972</v>
      </c>
      <c r="L2" s="33"/>
    </row>
    <row r="3" spans="1:12" x14ac:dyDescent="0.35">
      <c r="A3" s="17" t="s">
        <v>6</v>
      </c>
      <c r="B3" s="18">
        <v>0.28819444444444442</v>
      </c>
      <c r="C3" s="31"/>
      <c r="D3" s="31"/>
      <c r="E3" s="19">
        <v>0.45833333333333331</v>
      </c>
      <c r="F3" s="13">
        <v>4</v>
      </c>
      <c r="G3" s="12">
        <f>SUM(C3 - B3) * 24</f>
        <v>-6.9166666666666661</v>
      </c>
      <c r="H3" s="13">
        <f>SUM(E3 - D3) * 24</f>
        <v>11</v>
      </c>
      <c r="I3" s="4">
        <f t="shared" ref="I3:I6" si="0">G3 + H3 + F3</f>
        <v>8.0833333333333339</v>
      </c>
      <c r="J3" s="23" t="str">
        <f>IF(AND(C3 &lt;&gt; "", D3 &lt;&gt; ""), (SUM(D3 - C3) * 1440), " - ")</f>
        <v xml:space="preserve"> - </v>
      </c>
      <c r="K3" s="24" t="str">
        <f>IF(AND((B3 &lt;&gt; ""), (C3 &lt;&gt; ""), (D3 &lt;&gt; ""), (E3 &lt;&gt; "")), IF((((8 - I3) * 60) + 1) &gt; 0, (((8 - I3) * 60) + 1), (((8 - I3) * 60) - 1)), "-")</f>
        <v>-</v>
      </c>
    </row>
    <row r="4" spans="1:12" x14ac:dyDescent="0.35">
      <c r="A4" s="17" t="s">
        <v>7</v>
      </c>
      <c r="B4" s="18">
        <v>0.28819444444444442</v>
      </c>
      <c r="C4" s="18">
        <v>0.51875000000000004</v>
      </c>
      <c r="D4" s="18">
        <v>0.54861111111111116</v>
      </c>
      <c r="E4" s="19">
        <v>0.66666666666666663</v>
      </c>
      <c r="F4" s="20">
        <v>0</v>
      </c>
      <c r="G4" s="12">
        <f t="shared" ref="G4:G5" si="1">SUM(C4 - B4) * 24</f>
        <v>5.533333333333335</v>
      </c>
      <c r="H4" s="13">
        <f t="shared" ref="H4:H6" si="2">SUM(E4 - D4) * 24</f>
        <v>2.8333333333333313</v>
      </c>
      <c r="I4" s="4">
        <f t="shared" si="0"/>
        <v>8.3666666666666671</v>
      </c>
      <c r="J4" s="23">
        <f t="shared" ref="J4:J6" si="3">IF(AND(C4 &lt;&gt; "", D4 &lt;&gt; ""), (SUM(D4 - C4) * 1440), " - ")</f>
        <v>43.000000000000007</v>
      </c>
      <c r="K4" s="24">
        <f t="shared" ref="K4:K5" si="4">IF(AND((B4 &lt;&gt; ""), (C4 &lt;&gt; ""), (D4 &lt;&gt; ""), (E4 &lt;&gt; "")), IF((((8 - I4) * 60) + 1) &gt; 0, (((8 - I4) * 60) + 1), (((8 - I4) * 60) - 1)), "-")</f>
        <v>-23.000000000000028</v>
      </c>
    </row>
    <row r="5" spans="1:12" x14ac:dyDescent="0.35">
      <c r="A5" s="17" t="s">
        <v>8</v>
      </c>
      <c r="B5" s="18">
        <v>0.28819444444444442</v>
      </c>
      <c r="C5" s="18">
        <v>0.49583333333333335</v>
      </c>
      <c r="D5" s="18">
        <v>0.52638888888888891</v>
      </c>
      <c r="E5" s="19">
        <v>0.66666666666666663</v>
      </c>
      <c r="F5" s="20">
        <v>0</v>
      </c>
      <c r="G5" s="12">
        <f t="shared" si="1"/>
        <v>4.9833333333333343</v>
      </c>
      <c r="H5" s="13">
        <f t="shared" si="2"/>
        <v>3.3666666666666654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15" t="s">
        <v>9</v>
      </c>
      <c r="B6" s="18">
        <v>0.28819444444444442</v>
      </c>
      <c r="C6" s="31"/>
      <c r="D6" s="31"/>
      <c r="E6" s="19">
        <v>0.45833333333333331</v>
      </c>
      <c r="F6" s="13">
        <v>4</v>
      </c>
      <c r="G6" s="12">
        <f>SUM(C6 - B6) * 24</f>
        <v>-6.9166666666666661</v>
      </c>
      <c r="H6" s="13">
        <f t="shared" si="2"/>
        <v>11</v>
      </c>
      <c r="I6" s="4">
        <f t="shared" si="0"/>
        <v>8.0833333333333339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2" ht="36.75" thickBot="1" x14ac:dyDescent="0.6">
      <c r="B7" s="8"/>
      <c r="H7" s="2" t="s">
        <v>10</v>
      </c>
      <c r="I7" s="5">
        <f>SUM(I2:I6)</f>
        <v>41.266666666666673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-1.2666666666666728</v>
      </c>
      <c r="J9" s="9"/>
    </row>
  </sheetData>
  <conditionalFormatting sqref="I2:I6">
    <cfRule type="cellIs" dxfId="136" priority="4" operator="greaterThan">
      <formula>7.99999999</formula>
    </cfRule>
    <cfRule type="cellIs" dxfId="135" priority="5" operator="lessThan">
      <formula>8</formula>
    </cfRule>
  </conditionalFormatting>
  <conditionalFormatting sqref="I7">
    <cfRule type="cellIs" dxfId="134" priority="6" operator="lessThan">
      <formula>40</formula>
    </cfRule>
    <cfRule type="cellIs" dxfId="133" priority="7" operator="greaterThan">
      <formula>39.999999</formula>
    </cfRule>
  </conditionalFormatting>
  <conditionalFormatting sqref="K2:K6">
    <cfRule type="cellIs" dxfId="132" priority="1" operator="equal">
      <formula>"-"</formula>
    </cfRule>
    <cfRule type="cellIs" dxfId="131" priority="2" operator="greaterThan">
      <formula>0.1</formula>
    </cfRule>
    <cfRule type="cellIs" dxfId="13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FEFC-7A57-4C51-8D2C-CE9447E93DBB}">
  <sheetPr codeName="Sheet36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0.57638888888888884</v>
      </c>
      <c r="D2" s="18">
        <v>0.60555555555555551</v>
      </c>
      <c r="E2" s="19">
        <v>0.66666666666666663</v>
      </c>
      <c r="F2" s="12">
        <v>0</v>
      </c>
      <c r="G2" s="12">
        <f>SUM(C2 - B2) * 24</f>
        <v>6.9166666666666661</v>
      </c>
      <c r="H2" s="13">
        <f>SUM(E2 - D2) * 24</f>
        <v>1.4666666666666668</v>
      </c>
      <c r="I2" s="4">
        <f>G2 + H2 + F2</f>
        <v>8.3833333333333329</v>
      </c>
      <c r="J2" s="23">
        <f>IF(AND(C2 &lt;&gt; "", D2 &lt;&gt; ""), (SUM(D2 - C2) * 1440), " - ")</f>
        <v>42.000000000000014</v>
      </c>
      <c r="K2" s="24">
        <f>IF(AND((B2 &lt;&gt; ""), (C2 &lt;&gt; ""), (D2 &lt;&gt; ""), (E2 &lt;&gt; "")), IF((((8 - I2) * 60) + 1) &gt; 0, (((8 - I2) * 60) + 1), (((8 - I2) * 60) - 1)), "-")</f>
        <v>-23.999999999999972</v>
      </c>
      <c r="L2" s="33"/>
    </row>
    <row r="3" spans="1:12" x14ac:dyDescent="0.35">
      <c r="A3" s="17" t="s">
        <v>6</v>
      </c>
      <c r="B3" s="18">
        <v>0.28819444444444442</v>
      </c>
      <c r="C3" s="18">
        <v>0.59930555555555554</v>
      </c>
      <c r="D3" s="18">
        <v>0.63263888888888886</v>
      </c>
      <c r="E3" s="19">
        <v>0.66666666666666663</v>
      </c>
      <c r="F3" s="13">
        <v>0</v>
      </c>
      <c r="G3" s="12">
        <f>SUM(C3 - B3) * 24</f>
        <v>7.4666666666666668</v>
      </c>
      <c r="H3" s="13">
        <f>SUM(E3 - D3) * 24</f>
        <v>0.81666666666666643</v>
      </c>
      <c r="I3" s="4">
        <f t="shared" ref="I3:I6" si="0">G3 + H3 + F3</f>
        <v>8.2833333333333332</v>
      </c>
      <c r="J3" s="23">
        <f>IF(AND(C3 &lt;&gt; "", D3 &lt;&gt; ""), (SUM(D3 - C3) * 1440), " - ")</f>
        <v>47.999999999999986</v>
      </c>
      <c r="K3" s="24">
        <f>IF(AND((B3 &lt;&gt; ""), (C3 &lt;&gt; ""), (D3 &lt;&gt; ""), (E3 &lt;&gt; "")), IF((((8 - I3) * 60) + 1) &gt; 0, (((8 - I3) * 60) + 1), (((8 - I3) * 60) - 1)), "-")</f>
        <v>-17.999999999999993</v>
      </c>
    </row>
    <row r="4" spans="1:12" x14ac:dyDescent="0.35">
      <c r="A4" s="17" t="s">
        <v>7</v>
      </c>
      <c r="B4" s="18">
        <v>0.28819444444444442</v>
      </c>
      <c r="C4" s="18">
        <v>0.54861111111111116</v>
      </c>
      <c r="D4" s="18">
        <v>0.57916666666666672</v>
      </c>
      <c r="E4" s="19">
        <v>0.66666666666666663</v>
      </c>
      <c r="F4" s="20">
        <v>0</v>
      </c>
      <c r="G4" s="12">
        <f t="shared" ref="G4:G5" si="1">SUM(C4 - B4) * 24</f>
        <v>6.2500000000000018</v>
      </c>
      <c r="H4" s="13">
        <f t="shared" ref="H4:H6" si="2">SUM(E4 - D4) * 24</f>
        <v>2.0999999999999979</v>
      </c>
      <c r="I4" s="4">
        <f t="shared" si="0"/>
        <v>8.35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-21.999999999999979</v>
      </c>
    </row>
    <row r="5" spans="1:12" x14ac:dyDescent="0.35">
      <c r="A5" s="17" t="s">
        <v>8</v>
      </c>
      <c r="B5" s="18">
        <v>0.28819444444444442</v>
      </c>
      <c r="C5" s="18">
        <v>0.51458333333333328</v>
      </c>
      <c r="D5" s="18">
        <v>0.54513888888888884</v>
      </c>
      <c r="E5" s="19">
        <v>0.66666666666666663</v>
      </c>
      <c r="F5" s="20">
        <v>0</v>
      </c>
      <c r="G5" s="12">
        <f t="shared" si="1"/>
        <v>5.4333333333333327</v>
      </c>
      <c r="H5" s="13">
        <f t="shared" si="2"/>
        <v>2.916666666666667</v>
      </c>
      <c r="I5" s="4">
        <f t="shared" si="0"/>
        <v>8.35</v>
      </c>
      <c r="J5" s="23">
        <f t="shared" si="3"/>
        <v>44</v>
      </c>
      <c r="K5" s="24">
        <f t="shared" si="4"/>
        <v>-21.999999999999979</v>
      </c>
    </row>
    <row r="6" spans="1:12" ht="24" thickBot="1" x14ac:dyDescent="0.4">
      <c r="A6" s="15" t="s">
        <v>9</v>
      </c>
      <c r="B6" s="18">
        <v>0.28819444444444442</v>
      </c>
      <c r="C6" s="18">
        <v>0.51111111111111107</v>
      </c>
      <c r="D6" s="18">
        <v>0.54097222222222219</v>
      </c>
      <c r="E6" s="19">
        <v>0.66666666666666663</v>
      </c>
      <c r="F6" s="13">
        <v>0</v>
      </c>
      <c r="G6" s="12">
        <f>SUM(C6 - B6) * 24</f>
        <v>5.35</v>
      </c>
      <c r="H6" s="13">
        <f t="shared" si="2"/>
        <v>3.0166666666666666</v>
      </c>
      <c r="I6" s="4">
        <f t="shared" si="0"/>
        <v>8.3666666666666671</v>
      </c>
      <c r="J6" s="23">
        <f t="shared" si="3"/>
        <v>43.000000000000007</v>
      </c>
      <c r="K6" s="24">
        <f>IF(AND((B6 &lt;&gt; ""), (C6 &lt;&gt; ""), (D6 &lt;&gt; ""), (E6 &lt;&gt; "")), IF((((8 - I6) * 60) + 1) &gt; 0, (((8 - I6) * 60) + 1), (((8 - I6) * 60) - 1)), "-")</f>
        <v>-23.000000000000028</v>
      </c>
    </row>
    <row r="7" spans="1:12" ht="36.75" thickBot="1" x14ac:dyDescent="0.6">
      <c r="B7" s="8"/>
      <c r="H7" s="2" t="s">
        <v>10</v>
      </c>
      <c r="I7" s="5">
        <f>SUM(I2:I6)</f>
        <v>41.733333333333334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-1.7333333333333343</v>
      </c>
      <c r="J9" s="9"/>
    </row>
  </sheetData>
  <conditionalFormatting sqref="I2:I6">
    <cfRule type="cellIs" dxfId="129" priority="4" operator="greaterThan">
      <formula>7.99999999</formula>
    </cfRule>
    <cfRule type="cellIs" dxfId="128" priority="5" operator="lessThan">
      <formula>8</formula>
    </cfRule>
  </conditionalFormatting>
  <conditionalFormatting sqref="I7">
    <cfRule type="cellIs" dxfId="127" priority="6" operator="lessThan">
      <formula>40</formula>
    </cfRule>
    <cfRule type="cellIs" dxfId="126" priority="7" operator="greaterThan">
      <formula>39.999999</formula>
    </cfRule>
  </conditionalFormatting>
  <conditionalFormatting sqref="K2:K6">
    <cfRule type="cellIs" dxfId="125" priority="1" operator="equal">
      <formula>"-"</formula>
    </cfRule>
    <cfRule type="cellIs" dxfId="124" priority="2" operator="greaterThan">
      <formula>0.1</formula>
    </cfRule>
    <cfRule type="cellIs" dxfId="123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A453-A903-4D46-A519-7003E99DC87C}">
  <sheetPr codeName="Sheet37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0.55208333333333337</v>
      </c>
      <c r="D2" s="18">
        <v>0.58333333333333337</v>
      </c>
      <c r="E2" s="19">
        <v>0.66666666666666663</v>
      </c>
      <c r="F2" s="12">
        <v>0</v>
      </c>
      <c r="G2" s="12">
        <f>SUM(C2 - B2) * 24</f>
        <v>6.3333333333333348</v>
      </c>
      <c r="H2" s="13">
        <f>SUM(E2 - D2) * 24</f>
        <v>1.9999999999999982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  <c r="L2" s="33"/>
    </row>
    <row r="3" spans="1:12" x14ac:dyDescent="0.35">
      <c r="A3" s="17" t="s">
        <v>6</v>
      </c>
      <c r="B3" s="31"/>
      <c r="C3" s="31"/>
      <c r="D3" s="31"/>
      <c r="E3" s="32"/>
      <c r="F3" s="13">
        <v>8</v>
      </c>
      <c r="G3" s="12">
        <f>SUM(C3 - B3) * 24</f>
        <v>0</v>
      </c>
      <c r="H3" s="13">
        <f>SUM(E3 - D3) * 24</f>
        <v>0</v>
      </c>
      <c r="I3" s="4">
        <f t="shared" ref="I3:I6" si="0">G3 + H3 + F3</f>
        <v>8</v>
      </c>
      <c r="J3" s="23" t="str">
        <f>IF(AND(C3 &lt;&gt; "", D3 &lt;&gt; ""), (SUM(D3 - C3) * 1440), " - ")</f>
        <v xml:space="preserve"> - </v>
      </c>
      <c r="K3" s="24" t="str">
        <f>IF(AND((B3 &lt;&gt; ""), (C3 &lt;&gt; ""), (D3 &lt;&gt; ""), (E3 &lt;&gt; "")), IF((((8 - I3) * 60) + 1) &gt; 0, (((8 - I3) * 60) + 1), (((8 - I3) * 60) - 1)), "-")</f>
        <v>-</v>
      </c>
    </row>
    <row r="4" spans="1:12" x14ac:dyDescent="0.35">
      <c r="A4" s="17" t="s">
        <v>7</v>
      </c>
      <c r="B4" s="18">
        <v>0.27986111111111112</v>
      </c>
      <c r="C4" s="18">
        <v>0.5625</v>
      </c>
      <c r="D4" s="18">
        <v>0.59375</v>
      </c>
      <c r="E4" s="19">
        <v>0.66666666666666663</v>
      </c>
      <c r="F4" s="20">
        <v>0</v>
      </c>
      <c r="G4" s="12">
        <f t="shared" ref="G4:G5" si="1">SUM(C4 - B4) * 24</f>
        <v>6.7833333333333332</v>
      </c>
      <c r="H4" s="13">
        <f t="shared" ref="H4:H6" si="2">SUM(E4 - D4) * 24</f>
        <v>1.7499999999999991</v>
      </c>
      <c r="I4" s="4">
        <f t="shared" si="0"/>
        <v>8.5333333333333314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-32.999999999999886</v>
      </c>
    </row>
    <row r="5" spans="1:12" x14ac:dyDescent="0.35">
      <c r="A5" s="17" t="s">
        <v>8</v>
      </c>
      <c r="B5" s="18">
        <v>0.28819444444444442</v>
      </c>
      <c r="C5" s="18">
        <v>0.54583333333333328</v>
      </c>
      <c r="D5" s="18">
        <v>0.57708333333333328</v>
      </c>
      <c r="E5" s="19">
        <v>0.66736111111111107</v>
      </c>
      <c r="F5" s="20">
        <v>0</v>
      </c>
      <c r="G5" s="12">
        <f t="shared" si="1"/>
        <v>6.1833333333333327</v>
      </c>
      <c r="H5" s="13">
        <f t="shared" si="2"/>
        <v>2.166666666666667</v>
      </c>
      <c r="I5" s="4">
        <f t="shared" si="0"/>
        <v>8.35</v>
      </c>
      <c r="J5" s="23">
        <f t="shared" si="3"/>
        <v>45</v>
      </c>
      <c r="K5" s="24">
        <f t="shared" si="4"/>
        <v>-21.999999999999979</v>
      </c>
    </row>
    <row r="6" spans="1:12" ht="24" thickBot="1" x14ac:dyDescent="0.4">
      <c r="A6" s="15" t="s">
        <v>9</v>
      </c>
      <c r="B6" s="18">
        <v>0.28819444444444442</v>
      </c>
      <c r="C6" s="18">
        <v>0.55347222222222225</v>
      </c>
      <c r="D6" s="18">
        <v>0.59097222222222223</v>
      </c>
      <c r="E6" s="19">
        <v>0.66666666666666663</v>
      </c>
      <c r="F6" s="13">
        <v>0</v>
      </c>
      <c r="G6" s="12">
        <f>SUM(C6 - B6) * 24</f>
        <v>6.366666666666668</v>
      </c>
      <c r="H6" s="13">
        <f t="shared" si="2"/>
        <v>1.8166666666666655</v>
      </c>
      <c r="I6" s="4">
        <f t="shared" si="0"/>
        <v>8.1833333333333336</v>
      </c>
      <c r="J6" s="23">
        <f t="shared" si="3"/>
        <v>53.999999999999972</v>
      </c>
      <c r="K6" s="24">
        <f>IF(AND((B6 &lt;&gt; ""), (C6 &lt;&gt; ""), (D6 &lt;&gt; ""), (E6 &lt;&gt; "")), IF((((8 - I6) * 60) + 1) &gt; 0, (((8 - I6) * 60) + 1), (((8 - I6) * 60) - 1)), "-")</f>
        <v>-12.000000000000014</v>
      </c>
    </row>
    <row r="7" spans="1:12" ht="36.75" thickBot="1" x14ac:dyDescent="0.6">
      <c r="B7" s="8"/>
      <c r="H7" s="2" t="s">
        <v>10</v>
      </c>
      <c r="I7" s="5">
        <f>SUM(I2:I6)</f>
        <v>41.399999999999991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-1.3999999999999915</v>
      </c>
      <c r="J9" s="9"/>
    </row>
  </sheetData>
  <conditionalFormatting sqref="I2:I6">
    <cfRule type="cellIs" dxfId="122" priority="4" operator="greaterThan">
      <formula>7.99999999</formula>
    </cfRule>
    <cfRule type="cellIs" dxfId="121" priority="5" operator="lessThan">
      <formula>8</formula>
    </cfRule>
  </conditionalFormatting>
  <conditionalFormatting sqref="I7">
    <cfRule type="cellIs" dxfId="120" priority="6" operator="lessThan">
      <formula>40</formula>
    </cfRule>
    <cfRule type="cellIs" dxfId="119" priority="7" operator="greaterThan">
      <formula>39.999999</formula>
    </cfRule>
  </conditionalFormatting>
  <conditionalFormatting sqref="K2:K6">
    <cfRule type="cellIs" dxfId="118" priority="1" operator="equal">
      <formula>"-"</formula>
    </cfRule>
    <cfRule type="cellIs" dxfId="117" priority="2" operator="greaterThan">
      <formula>0.1</formula>
    </cfRule>
    <cfRule type="cellIs" dxfId="116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7C71-C98E-4D5C-9B7B-52B1A07FAAAD}">
  <sheetPr codeName="Sheet38"/>
  <dimension ref="A1:L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2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2" x14ac:dyDescent="0.35">
      <c r="A2" s="17" t="s">
        <v>5</v>
      </c>
      <c r="B2" s="18">
        <v>0.28819444444444442</v>
      </c>
      <c r="C2" s="18">
        <v>0.48125000000000001</v>
      </c>
      <c r="D2" s="18">
        <v>0.5395833333333333</v>
      </c>
      <c r="E2" s="19">
        <v>0.68819444444444444</v>
      </c>
      <c r="F2" s="12">
        <v>0</v>
      </c>
      <c r="G2" s="12">
        <f>SUM(C2 - B2) * 24</f>
        <v>4.6333333333333346</v>
      </c>
      <c r="H2" s="13">
        <f>SUM(E2 - D2) * 24</f>
        <v>3.5666666666666673</v>
      </c>
      <c r="I2" s="4">
        <f>G2 + H2 + F2</f>
        <v>8.2000000000000028</v>
      </c>
      <c r="J2" s="23">
        <f>IF(AND(C2 &lt;&gt; "", D2 &lt;&gt; ""), (SUM(D2 - C2) * 1440), " - ")</f>
        <v>83.999999999999943</v>
      </c>
      <c r="K2" s="24">
        <f>IF(AND((B2 &lt;&gt; ""), (C2 &lt;&gt; ""), (D2 &lt;&gt; ""), (E2 &lt;&gt; "")), IF((((8 - I2) * 60) + 1) &gt; 0, (((8 - I2) * 60) + 1), (((8 - I2) * 60) - 1)), "-")</f>
        <v>-13.000000000000171</v>
      </c>
      <c r="L2" s="33"/>
    </row>
    <row r="3" spans="1:12" x14ac:dyDescent="0.35">
      <c r="A3" s="17" t="s">
        <v>6</v>
      </c>
      <c r="B3" s="18">
        <v>0.28819444444444442</v>
      </c>
      <c r="C3" s="18">
        <v>0.48819444444444443</v>
      </c>
      <c r="D3" s="18">
        <v>0.52708333333333335</v>
      </c>
      <c r="E3" s="19">
        <v>0.66666666666666663</v>
      </c>
      <c r="F3" s="13">
        <v>0</v>
      </c>
      <c r="G3" s="12">
        <f>SUM(C3 - B3) * 24</f>
        <v>4.8000000000000007</v>
      </c>
      <c r="H3" s="13">
        <f>SUM(E3 - D3) * 24</f>
        <v>3.3499999999999988</v>
      </c>
      <c r="I3" s="4">
        <f t="shared" ref="I3:I6" si="0">G3 + H3 + F3</f>
        <v>8.1499999999999986</v>
      </c>
      <c r="J3" s="23">
        <f>IF(AND(C3 &lt;&gt; "", D3 &lt;&gt; ""), (SUM(D3 - C3) * 1440), " - ")</f>
        <v>56.000000000000043</v>
      </c>
      <c r="K3" s="24">
        <f>IF(AND((B3 &lt;&gt; ""), (C3 &lt;&gt; ""), (D3 &lt;&gt; ""), (E3 &lt;&gt; "")), IF((((8 - I3) * 60) + 1) &gt; 0, (((8 - I3) * 60) + 1), (((8 - I3) * 60) - 1)), "-")</f>
        <v>-9.9999999999999147</v>
      </c>
    </row>
    <row r="4" spans="1:12" x14ac:dyDescent="0.35">
      <c r="A4" s="17" t="s">
        <v>7</v>
      </c>
      <c r="B4" s="18">
        <v>0.28819444444444442</v>
      </c>
      <c r="C4" s="18">
        <v>0.5180555555555556</v>
      </c>
      <c r="D4" s="18">
        <v>0.54861111111111116</v>
      </c>
      <c r="E4" s="19">
        <v>0.66666666666666663</v>
      </c>
      <c r="F4" s="20">
        <v>0</v>
      </c>
      <c r="G4" s="12">
        <f t="shared" ref="G4:G5" si="1">SUM(C4 - B4) * 24</f>
        <v>5.5166666666666684</v>
      </c>
      <c r="H4" s="13">
        <f t="shared" ref="H4:H6" si="2">SUM(E4 - D4) * 24</f>
        <v>2.8333333333333313</v>
      </c>
      <c r="I4" s="4">
        <f t="shared" si="0"/>
        <v>8.35</v>
      </c>
      <c r="J4" s="23">
        <f t="shared" ref="J4:J6" si="3">IF(AND(C4 &lt;&gt; "", D4 &lt;&gt; ""), (SUM(D4 - C4) * 1440), " - ")</f>
        <v>44</v>
      </c>
      <c r="K4" s="24">
        <f t="shared" ref="K4:K5" si="4">IF(AND((B4 &lt;&gt; ""), (C4 &lt;&gt; ""), (D4 &lt;&gt; ""), (E4 &lt;&gt; "")), IF((((8 - I4) * 60) + 1) &gt; 0, (((8 - I4) * 60) + 1), (((8 - I4) * 60) - 1)), "-")</f>
        <v>-21.999999999999979</v>
      </c>
    </row>
    <row r="5" spans="1:12" x14ac:dyDescent="0.35">
      <c r="A5" s="17" t="s">
        <v>8</v>
      </c>
      <c r="B5" s="18">
        <v>0.28819444444444442</v>
      </c>
      <c r="C5" s="18">
        <v>0.47013888888888888</v>
      </c>
      <c r="D5" s="18">
        <v>0.50208333333333333</v>
      </c>
      <c r="E5" s="19">
        <v>0.66666666666666663</v>
      </c>
      <c r="F5" s="20">
        <v>0</v>
      </c>
      <c r="G5" s="12">
        <f t="shared" si="1"/>
        <v>4.3666666666666671</v>
      </c>
      <c r="H5" s="13">
        <f t="shared" si="2"/>
        <v>3.9499999999999993</v>
      </c>
      <c r="I5" s="4">
        <f t="shared" si="0"/>
        <v>8.3166666666666664</v>
      </c>
      <c r="J5" s="23">
        <f t="shared" si="3"/>
        <v>46</v>
      </c>
      <c r="K5" s="24">
        <f t="shared" si="4"/>
        <v>-19.999999999999986</v>
      </c>
    </row>
    <row r="6" spans="1:12" ht="24" thickBot="1" x14ac:dyDescent="0.4">
      <c r="A6" s="15" t="s">
        <v>9</v>
      </c>
      <c r="B6" s="18">
        <v>0.28819444444444442</v>
      </c>
      <c r="C6" s="18">
        <v>0.48333333333333334</v>
      </c>
      <c r="D6" s="18">
        <v>0.51458333333333328</v>
      </c>
      <c r="E6" s="19">
        <v>0.66666666666666663</v>
      </c>
      <c r="F6" s="13">
        <v>0</v>
      </c>
      <c r="G6" s="12">
        <f>SUM(C6 - B6) * 24</f>
        <v>4.6833333333333336</v>
      </c>
      <c r="H6" s="13">
        <f t="shared" si="2"/>
        <v>3.6500000000000004</v>
      </c>
      <c r="I6" s="4">
        <f t="shared" si="0"/>
        <v>8.3333333333333339</v>
      </c>
      <c r="J6" s="23">
        <f t="shared" si="3"/>
        <v>44.999999999999922</v>
      </c>
      <c r="K6" s="24">
        <f>IF(AND((B6 &lt;&gt; ""), (C6 &lt;&gt; ""), (D6 &lt;&gt; ""), (E6 &lt;&gt; "")), IF((((8 - I6) * 60) + 1) &gt; 0, (((8 - I6) * 60) + 1), (((8 - I6) * 60) - 1)), "-")</f>
        <v>-21.000000000000036</v>
      </c>
    </row>
    <row r="7" spans="1:12" ht="36.75" thickBot="1" x14ac:dyDescent="0.6">
      <c r="B7" s="8"/>
      <c r="H7" s="2" t="s">
        <v>10</v>
      </c>
      <c r="I7" s="5">
        <f>SUM(I2:I6)</f>
        <v>41.35</v>
      </c>
    </row>
    <row r="8" spans="1:12" ht="24" thickBot="1" x14ac:dyDescent="0.4"/>
    <row r="9" spans="1:12" ht="24" thickBot="1" x14ac:dyDescent="0.4">
      <c r="F9" s="30"/>
      <c r="H9" s="6" t="s">
        <v>11</v>
      </c>
      <c r="I9" s="7">
        <f>40-I7</f>
        <v>-1.3500000000000014</v>
      </c>
      <c r="J9" s="9"/>
    </row>
  </sheetData>
  <conditionalFormatting sqref="I2:I6">
    <cfRule type="cellIs" dxfId="115" priority="4" operator="greaterThan">
      <formula>7.99999999</formula>
    </cfRule>
    <cfRule type="cellIs" dxfId="114" priority="5" operator="lessThan">
      <formula>8</formula>
    </cfRule>
  </conditionalFormatting>
  <conditionalFormatting sqref="I7">
    <cfRule type="cellIs" dxfId="113" priority="6" operator="lessThan">
      <formula>40</formula>
    </cfRule>
    <cfRule type="cellIs" dxfId="112" priority="7" operator="greaterThan">
      <formula>39.999999</formula>
    </cfRule>
  </conditionalFormatting>
  <conditionalFormatting sqref="K2:K6">
    <cfRule type="cellIs" dxfId="111" priority="1" operator="equal">
      <formula>"-"</formula>
    </cfRule>
    <cfRule type="cellIs" dxfId="110" priority="2" operator="greaterThan">
      <formula>0.1</formula>
    </cfRule>
    <cfRule type="cellIs" dxfId="109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E529-D122-4BEF-99D5-5423C577121C}">
  <sheetPr codeName="Sheet9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0.51666666666666672</v>
      </c>
      <c r="D2" s="18">
        <v>0.54791666666666672</v>
      </c>
      <c r="E2" s="19">
        <v>0.66666666666666663</v>
      </c>
      <c r="F2" s="12">
        <v>0</v>
      </c>
      <c r="G2" s="12">
        <f>SUM(C2 - B2) * 24</f>
        <v>5.4833333333333352</v>
      </c>
      <c r="H2" s="13">
        <f>SUM(E2 - D2) * 24</f>
        <v>2.8499999999999979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0.53333333333333333</v>
      </c>
      <c r="D3" s="18">
        <v>0.56458333333333333</v>
      </c>
      <c r="E3" s="19">
        <v>0.66666666666666663</v>
      </c>
      <c r="F3" s="13">
        <v>0</v>
      </c>
      <c r="G3" s="12">
        <f>SUM(C3 - B3) * 24</f>
        <v>5.8833333333333337</v>
      </c>
      <c r="H3" s="13">
        <f>SUM(E3 - D3) * 24</f>
        <v>2.4499999999999993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0.52430555555555558</v>
      </c>
      <c r="D4" s="18">
        <v>0.55555555555555558</v>
      </c>
      <c r="E4" s="19">
        <v>0.66666666666666663</v>
      </c>
      <c r="F4" s="20">
        <v>0</v>
      </c>
      <c r="G4" s="12">
        <f t="shared" ref="G4:G5" si="1">SUM(C4 - B4) * 24</f>
        <v>5.6666666666666679</v>
      </c>
      <c r="H4" s="13">
        <f t="shared" ref="H4:H6" si="2">SUM(E4 - D4) * 24</f>
        <v>2.6666666666666652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0.52083333333333337</v>
      </c>
      <c r="D5" s="18">
        <v>0.55277777777777781</v>
      </c>
      <c r="E5" s="19">
        <v>0.66666666666666663</v>
      </c>
      <c r="F5" s="20">
        <v>0</v>
      </c>
      <c r="G5" s="12">
        <f t="shared" si="1"/>
        <v>5.5833333333333348</v>
      </c>
      <c r="H5" s="13">
        <f t="shared" si="2"/>
        <v>2.7333333333333316</v>
      </c>
      <c r="I5" s="4">
        <f t="shared" si="0"/>
        <v>8.3166666666666664</v>
      </c>
      <c r="J5" s="23">
        <f t="shared" si="3"/>
        <v>46</v>
      </c>
      <c r="K5" s="24">
        <f t="shared" si="4"/>
        <v>-19.999999999999986</v>
      </c>
    </row>
    <row r="6" spans="1:11" ht="24" thickBot="1" x14ac:dyDescent="0.4">
      <c r="A6" s="15" t="s">
        <v>9</v>
      </c>
      <c r="B6" s="18">
        <v>0.28819444444444442</v>
      </c>
      <c r="C6" s="18">
        <v>0.51111111111111107</v>
      </c>
      <c r="D6" s="18">
        <v>0.54097222222222219</v>
      </c>
      <c r="E6" s="19">
        <v>0.66666666666666663</v>
      </c>
      <c r="F6" s="13">
        <v>0</v>
      </c>
      <c r="G6" s="12">
        <f>SUM(C6 - B6) * 24</f>
        <v>5.35</v>
      </c>
      <c r="H6" s="13">
        <f t="shared" si="2"/>
        <v>3.0166666666666666</v>
      </c>
      <c r="I6" s="4">
        <f t="shared" si="0"/>
        <v>8.3666666666666671</v>
      </c>
      <c r="J6" s="23">
        <f t="shared" si="3"/>
        <v>43.000000000000007</v>
      </c>
      <c r="K6" s="24">
        <f>IF(AND((B6 &lt;&gt; ""), (C6 &lt;&gt; ""), (D6 &lt;&gt; ""), (E6 &lt;&gt; "")), IF((((8 - I6) * 60) + 1) &gt; 0, (((8 - I6) * 60) + 1), (((8 - I6) * 60) - 1)), "-")</f>
        <v>-23.000000000000028</v>
      </c>
    </row>
    <row r="7" spans="1:11" ht="36.75" thickBot="1" x14ac:dyDescent="0.6">
      <c r="B7" s="8"/>
      <c r="H7" s="2" t="s">
        <v>10</v>
      </c>
      <c r="I7" s="5">
        <f>SUM(I2:I6)</f>
        <v>41.68333333333333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-1.68333333333333</v>
      </c>
      <c r="J9" s="9"/>
    </row>
  </sheetData>
  <conditionalFormatting sqref="I2:I6">
    <cfRule type="cellIs" dxfId="108" priority="4" operator="greaterThan">
      <formula>7.99999999</formula>
    </cfRule>
    <cfRule type="cellIs" dxfId="107" priority="5" operator="lessThan">
      <formula>8</formula>
    </cfRule>
  </conditionalFormatting>
  <conditionalFormatting sqref="I7">
    <cfRule type="cellIs" dxfId="106" priority="6" operator="lessThan">
      <formula>40</formula>
    </cfRule>
    <cfRule type="cellIs" dxfId="105" priority="7" operator="greaterThan">
      <formula>39.999999</formula>
    </cfRule>
  </conditionalFormatting>
  <conditionalFormatting sqref="K2:K6">
    <cfRule type="cellIs" dxfId="104" priority="1" operator="equal">
      <formula>"-"</formula>
    </cfRule>
    <cfRule type="cellIs" dxfId="103" priority="2" operator="greaterThan">
      <formula>0.1</formula>
    </cfRule>
    <cfRule type="cellIs" dxfId="102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B678-116D-4EDA-B71D-3A7581F2776F}">
  <sheetPr codeName="Sheet10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0.48472222222222222</v>
      </c>
      <c r="D2" s="18">
        <v>0.51597222222222228</v>
      </c>
      <c r="E2" s="19">
        <v>0.66666666666666663</v>
      </c>
      <c r="F2" s="12">
        <v>0</v>
      </c>
      <c r="G2" s="12">
        <f>SUM(C2 - B2) * 24</f>
        <v>4.7166666666666668</v>
      </c>
      <c r="H2" s="13">
        <f>SUM(E2 - D2) * 24</f>
        <v>3.6166666666666645</v>
      </c>
      <c r="I2" s="4">
        <f>G2 + H2 + F2</f>
        <v>8.3333333333333321</v>
      </c>
      <c r="J2" s="23">
        <f>IF(AND(C2 &lt;&gt; "", D2 &lt;&gt; ""), (SUM(D2 - C2) * 1440), " - ")</f>
        <v>45.000000000000078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0.49444444444444446</v>
      </c>
      <c r="D3" s="18">
        <v>0.52569444444444446</v>
      </c>
      <c r="E3" s="19">
        <v>0.66666666666666663</v>
      </c>
      <c r="F3" s="13">
        <v>0</v>
      </c>
      <c r="G3" s="12">
        <f>SUM(C3 - B3) * 24</f>
        <v>4.9500000000000011</v>
      </c>
      <c r="H3" s="13">
        <f>SUM(E3 - D3) * 24</f>
        <v>3.383333333333332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0.50624999999999998</v>
      </c>
      <c r="D4" s="18">
        <v>0.53749999999999998</v>
      </c>
      <c r="E4" s="19">
        <v>0.66666666666666663</v>
      </c>
      <c r="F4" s="20">
        <v>0</v>
      </c>
      <c r="G4" s="12">
        <f t="shared" ref="G4:G5" si="1">SUM(C4 - B4) * 24</f>
        <v>5.2333333333333334</v>
      </c>
      <c r="H4" s="13">
        <f t="shared" ref="H4:H6" si="2">SUM(E4 - D4) * 24</f>
        <v>3.0999999999999996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0.48680555555555555</v>
      </c>
      <c r="D5" s="18">
        <v>0.5180555555555556</v>
      </c>
      <c r="E5" s="19">
        <v>0.66666666666666663</v>
      </c>
      <c r="F5" s="20">
        <v>0</v>
      </c>
      <c r="G5" s="12">
        <f t="shared" si="1"/>
        <v>4.7666666666666675</v>
      </c>
      <c r="H5" s="13">
        <f t="shared" si="2"/>
        <v>3.5666666666666647</v>
      </c>
      <c r="I5" s="4">
        <f t="shared" si="0"/>
        <v>8.3333333333333321</v>
      </c>
      <c r="J5" s="23">
        <f t="shared" si="3"/>
        <v>45.000000000000078</v>
      </c>
      <c r="K5" s="24">
        <f t="shared" si="4"/>
        <v>-20.999999999999929</v>
      </c>
    </row>
    <row r="6" spans="1:11" ht="24" thickBot="1" x14ac:dyDescent="0.4">
      <c r="A6" s="15" t="s">
        <v>9</v>
      </c>
      <c r="B6" s="18">
        <v>0.28819444444444442</v>
      </c>
      <c r="C6" s="18">
        <v>0.53749999999999998</v>
      </c>
      <c r="D6" s="18">
        <v>0.57152777777777775</v>
      </c>
      <c r="E6" s="19">
        <v>0.66666666666666663</v>
      </c>
      <c r="F6" s="13">
        <v>0</v>
      </c>
      <c r="G6" s="12">
        <f>SUM(C6 - B6) * 24</f>
        <v>5.9833333333333334</v>
      </c>
      <c r="H6" s="13">
        <f t="shared" si="2"/>
        <v>2.2833333333333332</v>
      </c>
      <c r="I6" s="4">
        <f t="shared" si="0"/>
        <v>8.2666666666666657</v>
      </c>
      <c r="J6" s="23">
        <f t="shared" si="3"/>
        <v>48.999999999999986</v>
      </c>
      <c r="K6" s="24">
        <f>IF(AND((B6 &lt;&gt; ""), (C6 &lt;&gt; ""), (D6 &lt;&gt; ""), (E6 &lt;&gt; "")), IF((((8 - I6) * 60) + 1) &gt; 0, (((8 - I6) * 60) + 1), (((8 - I6) * 60) - 1)), "-")</f>
        <v>-16.999999999999943</v>
      </c>
    </row>
    <row r="7" spans="1:11" ht="36.75" thickBot="1" x14ac:dyDescent="0.6">
      <c r="B7" s="8"/>
      <c r="H7" s="2" t="s">
        <v>10</v>
      </c>
      <c r="I7" s="5">
        <f>SUM(I2:I6)</f>
        <v>41.599999999999994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-1.5999999999999943</v>
      </c>
      <c r="J9" s="9"/>
    </row>
  </sheetData>
  <conditionalFormatting sqref="I2:I6">
    <cfRule type="cellIs" dxfId="101" priority="4" operator="greaterThan">
      <formula>7.99999999</formula>
    </cfRule>
    <cfRule type="cellIs" dxfId="100" priority="5" operator="lessThan">
      <formula>8</formula>
    </cfRule>
  </conditionalFormatting>
  <conditionalFormatting sqref="I7">
    <cfRule type="cellIs" dxfId="99" priority="6" operator="lessThan">
      <formula>40</formula>
    </cfRule>
    <cfRule type="cellIs" dxfId="98" priority="7" operator="greaterThan">
      <formula>39.999999</formula>
    </cfRule>
  </conditionalFormatting>
  <conditionalFormatting sqref="K2:K6">
    <cfRule type="cellIs" dxfId="97" priority="1" operator="equal">
      <formula>"-"</formula>
    </cfRule>
    <cfRule type="cellIs" dxfId="96" priority="2" operator="greaterThan">
      <formula>0.1</formula>
    </cfRule>
    <cfRule type="cellIs" dxfId="95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3907-5E84-47E9-8A1D-68CD16571DDD}">
  <sheetPr codeName="Sheet11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0.50208333333333333</v>
      </c>
      <c r="D2" s="18">
        <v>0.53333333333333333</v>
      </c>
      <c r="E2" s="19">
        <v>0.66666666666666663</v>
      </c>
      <c r="F2" s="12">
        <v>0</v>
      </c>
      <c r="G2" s="12">
        <f>SUM(C2 - B2) * 24</f>
        <v>5.1333333333333337</v>
      </c>
      <c r="H2" s="13">
        <f>SUM(E2 - D2) * 24</f>
        <v>3.1999999999999993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0.52638888888888891</v>
      </c>
      <c r="D3" s="18">
        <v>0.55763888888888891</v>
      </c>
      <c r="E3" s="19">
        <v>0.66666666666666663</v>
      </c>
      <c r="F3" s="13">
        <v>0</v>
      </c>
      <c r="G3" s="12">
        <f>SUM(C3 - B3) * 24</f>
        <v>5.7166666666666677</v>
      </c>
      <c r="H3" s="13">
        <f>SUM(E3 - D3) * 24</f>
        <v>2.6166666666666654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0.5</v>
      </c>
      <c r="D4" s="18">
        <v>0.53125</v>
      </c>
      <c r="E4" s="19">
        <v>0.66666666666666663</v>
      </c>
      <c r="F4" s="20">
        <v>0</v>
      </c>
      <c r="G4" s="12">
        <f t="shared" ref="G4:G5" si="1">SUM(C4 - B4) * 24</f>
        <v>5.0833333333333339</v>
      </c>
      <c r="H4" s="13">
        <f t="shared" ref="H4:H6" si="2">SUM(E4 - D4) * 24</f>
        <v>3.2499999999999991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0.49166666666666664</v>
      </c>
      <c r="D5" s="18">
        <v>0.5229166666666667</v>
      </c>
      <c r="E5" s="19">
        <v>0.66666666666666663</v>
      </c>
      <c r="F5" s="20">
        <v>0</v>
      </c>
      <c r="G5" s="12">
        <f t="shared" si="1"/>
        <v>4.8833333333333329</v>
      </c>
      <c r="H5" s="13">
        <f t="shared" si="2"/>
        <v>3.4499999999999984</v>
      </c>
      <c r="I5" s="4">
        <f t="shared" si="0"/>
        <v>8.3333333333333321</v>
      </c>
      <c r="J5" s="23">
        <f t="shared" si="3"/>
        <v>45.000000000000078</v>
      </c>
      <c r="K5" s="24">
        <f t="shared" si="4"/>
        <v>-20.999999999999929</v>
      </c>
    </row>
    <row r="6" spans="1:11" ht="24" thickBot="1" x14ac:dyDescent="0.4">
      <c r="A6" s="15" t="s">
        <v>9</v>
      </c>
      <c r="B6" s="18">
        <v>0.28819444444444442</v>
      </c>
      <c r="C6" s="18">
        <v>0.48888888888888887</v>
      </c>
      <c r="D6" s="18">
        <v>0.52013888888888893</v>
      </c>
      <c r="E6" s="19">
        <v>0.66666666666666663</v>
      </c>
      <c r="F6" s="13">
        <v>0</v>
      </c>
      <c r="G6" s="12">
        <f>SUM(C6 - B6) * 24</f>
        <v>4.8166666666666664</v>
      </c>
      <c r="H6" s="13">
        <f t="shared" si="2"/>
        <v>3.5166666666666648</v>
      </c>
      <c r="I6" s="4">
        <f t="shared" si="0"/>
        <v>8.3333333333333321</v>
      </c>
      <c r="J6" s="23">
        <f t="shared" si="3"/>
        <v>45.000000000000078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1" ht="36.75" thickBot="1" x14ac:dyDescent="0.6">
      <c r="B7" s="8"/>
      <c r="H7" s="2" t="s">
        <v>10</v>
      </c>
      <c r="I7" s="5">
        <f>SUM(I2:I6)</f>
        <v>41.666666666666657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-1.6666666666666572</v>
      </c>
      <c r="J9" s="9"/>
    </row>
  </sheetData>
  <conditionalFormatting sqref="I2:I6">
    <cfRule type="cellIs" dxfId="94" priority="4" operator="greaterThan">
      <formula>7.99999999</formula>
    </cfRule>
    <cfRule type="cellIs" dxfId="93" priority="5" operator="lessThan">
      <formula>8</formula>
    </cfRule>
  </conditionalFormatting>
  <conditionalFormatting sqref="I7">
    <cfRule type="cellIs" dxfId="92" priority="6" operator="lessThan">
      <formula>40</formula>
    </cfRule>
    <cfRule type="cellIs" dxfId="91" priority="7" operator="greaterThan">
      <formula>39.999999</formula>
    </cfRule>
  </conditionalFormatting>
  <conditionalFormatting sqref="K2:K6">
    <cfRule type="cellIs" dxfId="90" priority="1" operator="equal">
      <formula>"-"</formula>
    </cfRule>
    <cfRule type="cellIs" dxfId="89" priority="2" operator="greaterThan">
      <formula>0.1</formula>
    </cfRule>
    <cfRule type="cellIs" dxfId="88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A88C-AC88-4105-B610-B8F43A1751EB}">
  <sheetPr codeName="Sheet12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31"/>
      <c r="C2" s="31"/>
      <c r="D2" s="31"/>
      <c r="E2" s="32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</row>
    <row r="3" spans="1:11" x14ac:dyDescent="0.35">
      <c r="A3" s="17" t="s">
        <v>6</v>
      </c>
      <c r="B3" s="31"/>
      <c r="C3" s="31"/>
      <c r="D3" s="31"/>
      <c r="E3" s="32"/>
      <c r="F3" s="13">
        <v>8</v>
      </c>
      <c r="G3" s="12">
        <f>SUM(C3 - B3) * 24</f>
        <v>0</v>
      </c>
      <c r="H3" s="13">
        <f>SUM(E3 - D3) * 24</f>
        <v>0</v>
      </c>
      <c r="I3" s="4">
        <f t="shared" ref="I3:I6" si="0">G3 + H3 + F3</f>
        <v>8</v>
      </c>
      <c r="J3" s="23" t="str">
        <f>IF(AND(C3 &lt;&gt; "", D3 &lt;&gt; ""), (SUM(D3 - C3) * 1440), " - ")</f>
        <v xml:space="preserve"> - </v>
      </c>
      <c r="K3" s="24" t="str">
        <f>IF(AND((B3 &lt;&gt; ""), (C3 &lt;&gt; ""), (D3 &lt;&gt; ""), (E3 &lt;&gt; "")), IF((((8 - I3) * 60) + 1) &gt; 0, (((8 - I3) * 60) + 1), (((8 - I3) * 60) - 1)), "-")</f>
        <v>-</v>
      </c>
    </row>
    <row r="4" spans="1:11" x14ac:dyDescent="0.35">
      <c r="A4" s="17" t="s">
        <v>7</v>
      </c>
      <c r="B4" s="18">
        <v>0.28819444444444442</v>
      </c>
      <c r="C4" s="18">
        <v>0.54166666666666663</v>
      </c>
      <c r="D4" s="18">
        <v>0.57291666666666663</v>
      </c>
      <c r="E4" s="19">
        <v>0.66666666666666663</v>
      </c>
      <c r="F4" s="20">
        <v>0</v>
      </c>
      <c r="G4" s="12">
        <f t="shared" ref="G4:G5" si="1">SUM(C4 - B4) * 24</f>
        <v>6.083333333333333</v>
      </c>
      <c r="H4" s="13">
        <f t="shared" ref="H4:H6" si="2">SUM(E4 - D4) * 24</f>
        <v>2.25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0.50347222222222221</v>
      </c>
      <c r="D5" s="18">
        <v>0.53472222222222221</v>
      </c>
      <c r="E5" s="19">
        <v>0.66666666666666663</v>
      </c>
      <c r="F5" s="20">
        <v>0</v>
      </c>
      <c r="G5" s="12">
        <f t="shared" si="1"/>
        <v>5.166666666666667</v>
      </c>
      <c r="H5" s="13">
        <f t="shared" si="2"/>
        <v>3.1666666666666661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1" ht="24" thickBot="1" x14ac:dyDescent="0.4">
      <c r="A6" s="15" t="s">
        <v>9</v>
      </c>
      <c r="B6" s="18">
        <v>0.28819444444444442</v>
      </c>
      <c r="C6" s="18">
        <v>0.51388888888888884</v>
      </c>
      <c r="D6" s="18">
        <v>0.54513888888888884</v>
      </c>
      <c r="E6" s="19">
        <v>0.64583333333333337</v>
      </c>
      <c r="F6" s="13">
        <v>0.5</v>
      </c>
      <c r="G6" s="12">
        <f>SUM(C6 - B6) * 24</f>
        <v>5.4166666666666661</v>
      </c>
      <c r="H6" s="13">
        <f t="shared" si="2"/>
        <v>2.4166666666666687</v>
      </c>
      <c r="I6" s="4">
        <f t="shared" si="0"/>
        <v>8.3333333333333357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-21.000000000000142</v>
      </c>
    </row>
    <row r="7" spans="1:11" ht="36.75" thickBot="1" x14ac:dyDescent="0.6">
      <c r="B7" s="8"/>
      <c r="H7" s="2" t="s">
        <v>10</v>
      </c>
      <c r="I7" s="5">
        <f>SUM(I2:I6)</f>
        <v>41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</v>
      </c>
      <c r="J9" s="9"/>
    </row>
  </sheetData>
  <conditionalFormatting sqref="I2:I6">
    <cfRule type="cellIs" dxfId="87" priority="4" operator="greaterThan">
      <formula>7.99999999</formula>
    </cfRule>
    <cfRule type="cellIs" dxfId="86" priority="5" operator="lessThan">
      <formula>8</formula>
    </cfRule>
  </conditionalFormatting>
  <conditionalFormatting sqref="I7">
    <cfRule type="cellIs" dxfId="85" priority="6" operator="lessThan">
      <formula>40</formula>
    </cfRule>
    <cfRule type="cellIs" dxfId="84" priority="7" operator="greaterThan">
      <formula>39.999999</formula>
    </cfRule>
  </conditionalFormatting>
  <conditionalFormatting sqref="K2:K6">
    <cfRule type="cellIs" dxfId="83" priority="1" operator="equal">
      <formula>"-"</formula>
    </cfRule>
    <cfRule type="cellIs" dxfId="82" priority="2" operator="greaterThan">
      <formula>0.1</formula>
    </cfRule>
    <cfRule type="cellIs" dxfId="8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65D0-C58B-4798-AF50-5C72E259B715}">
  <sheetPr codeName="Sheet13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4.14062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69.7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17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0.50555555555555554</v>
      </c>
      <c r="D2" s="18">
        <v>0.53541666666666665</v>
      </c>
      <c r="E2" s="19">
        <v>0.66736111111111107</v>
      </c>
      <c r="F2" s="12">
        <v>0</v>
      </c>
      <c r="G2" s="12">
        <f>SUM(C2 - B2) * 24</f>
        <v>5.2166666666666668</v>
      </c>
      <c r="H2" s="13">
        <f>SUM(E2 - D2) * 24</f>
        <v>3.1666666666666661</v>
      </c>
      <c r="I2" s="4">
        <f>G2 + H2 + F2</f>
        <v>8.3833333333333329</v>
      </c>
      <c r="J2" s="23">
        <f>IF(AND(C2 &lt;&gt; "", D2 &lt;&gt; ""), (SUM(D2 - C2) * 1440), " - ")</f>
        <v>43.000000000000007</v>
      </c>
      <c r="K2" s="24">
        <f>IF(AND((B2 &lt;&gt; ""), (C2 &lt;&gt; ""), (D2 &lt;&gt; ""), (E2 &lt;&gt; "")), IF((((8 - I2) * 60) + 1) &gt; 0, (((8 - I2) * 60) + 1), (((8 - I2) * 60) - 1)), "-")</f>
        <v>-23.999999999999972</v>
      </c>
    </row>
    <row r="3" spans="1:11" x14ac:dyDescent="0.35">
      <c r="A3" s="17" t="s">
        <v>6</v>
      </c>
      <c r="B3" s="18">
        <v>0.28819444444444442</v>
      </c>
      <c r="C3" s="18">
        <v>0.50555555555555554</v>
      </c>
      <c r="D3" s="18">
        <v>0.53749999999999998</v>
      </c>
      <c r="E3" s="19">
        <v>0.66666666666666663</v>
      </c>
      <c r="F3" s="13">
        <v>0</v>
      </c>
      <c r="G3" s="12">
        <f>SUM(C3 - B3) * 24</f>
        <v>5.2166666666666668</v>
      </c>
      <c r="H3" s="13">
        <f>SUM(E3 - D3) * 24</f>
        <v>3.0999999999999996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1" x14ac:dyDescent="0.35">
      <c r="A4" s="17" t="s">
        <v>7</v>
      </c>
      <c r="B4" s="18">
        <v>0.28819444444444442</v>
      </c>
      <c r="C4" s="18">
        <v>0.4861111111111111</v>
      </c>
      <c r="D4" s="18">
        <v>0.51736111111111116</v>
      </c>
      <c r="E4" s="19">
        <v>0.66666666666666663</v>
      </c>
      <c r="F4" s="20">
        <v>0</v>
      </c>
      <c r="G4" s="12">
        <f t="shared" ref="G4:G5" si="1">SUM(C4 - B4) * 24</f>
        <v>4.75</v>
      </c>
      <c r="H4" s="13">
        <f t="shared" ref="H4:H6" si="2">SUM(E4 - D4) * 24</f>
        <v>3.5833333333333313</v>
      </c>
      <c r="I4" s="4">
        <f t="shared" si="0"/>
        <v>8.3333333333333321</v>
      </c>
      <c r="J4" s="23">
        <f t="shared" ref="J4:J6" si="3">IF(AND(C4 &lt;&gt; "", D4 &lt;&gt; ""), (SUM(D4 - C4) * 1440), " - ")</f>
        <v>45.000000000000078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0.51111111111111107</v>
      </c>
      <c r="D5" s="18">
        <v>0.54236111111111107</v>
      </c>
      <c r="E5" s="19">
        <v>0.60416666666666663</v>
      </c>
      <c r="F5" s="20">
        <v>1.5</v>
      </c>
      <c r="G5" s="12">
        <f t="shared" si="1"/>
        <v>5.35</v>
      </c>
      <c r="H5" s="13">
        <f t="shared" si="2"/>
        <v>1.4833333333333334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1" ht="24" thickBot="1" x14ac:dyDescent="0.4">
      <c r="A6" s="15" t="s">
        <v>9</v>
      </c>
      <c r="B6" s="31"/>
      <c r="C6" s="31"/>
      <c r="D6" s="31"/>
      <c r="E6" s="32"/>
      <c r="F6" s="13">
        <v>8</v>
      </c>
      <c r="G6" s="12">
        <f>SUM(C6 - B6) * 24</f>
        <v>0</v>
      </c>
      <c r="H6" s="13">
        <f t="shared" si="2"/>
        <v>0</v>
      </c>
      <c r="I6" s="4">
        <f t="shared" si="0"/>
        <v>8</v>
      </c>
      <c r="J6" s="23" t="str">
        <f t="shared" si="3"/>
        <v xml:space="preserve"> - </v>
      </c>
      <c r="K6" s="24" t="str">
        <f>IF(AND((B6 &lt;&gt; ""), (C6 &lt;&gt; ""), (D6 &lt;&gt; ""), (E6 &lt;&gt; "")), IF((((8 - I6) * 60) + 1) &gt; 0, (((8 - I6) * 60) + 1), (((8 - I6) * 60) - 1)), "-")</f>
        <v>-</v>
      </c>
    </row>
    <row r="7" spans="1:11" ht="36.75" thickBot="1" x14ac:dyDescent="0.6">
      <c r="B7" s="8"/>
      <c r="H7" s="2" t="s">
        <v>10</v>
      </c>
      <c r="I7" s="5">
        <f>SUM(I2:I6)</f>
        <v>41.36666666666666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-1.36666666666666</v>
      </c>
      <c r="J9" s="9"/>
    </row>
  </sheetData>
  <conditionalFormatting sqref="I2:I6">
    <cfRule type="cellIs" dxfId="80" priority="4" operator="greaterThan">
      <formula>7.99999999</formula>
    </cfRule>
    <cfRule type="cellIs" dxfId="79" priority="5" operator="lessThan">
      <formula>8</formula>
    </cfRule>
  </conditionalFormatting>
  <conditionalFormatting sqref="I7">
    <cfRule type="cellIs" dxfId="78" priority="6" operator="lessThan">
      <formula>40</formula>
    </cfRule>
    <cfRule type="cellIs" dxfId="77" priority="7" operator="greaterThan">
      <formula>39.999999</formula>
    </cfRule>
  </conditionalFormatting>
  <conditionalFormatting sqref="K2:K6">
    <cfRule type="cellIs" dxfId="76" priority="1" operator="equal">
      <formula>"-"</formula>
    </cfRule>
    <cfRule type="cellIs" dxfId="75" priority="2" operator="greaterThan">
      <formula>0.1</formula>
    </cfRule>
    <cfRule type="cellIs" dxfId="74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EF21-85A4-4B8F-B724-C5277BCE2BCF}">
  <sheetPr codeName="Sheet14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0.48680555555555555</v>
      </c>
      <c r="D2" s="18">
        <v>0.5180555555555556</v>
      </c>
      <c r="E2" s="19">
        <v>0.66666666666666663</v>
      </c>
      <c r="F2" s="12">
        <v>0</v>
      </c>
      <c r="G2" s="12">
        <f>SUM(C2 - B2) * 24</f>
        <v>4.7666666666666675</v>
      </c>
      <c r="H2" s="13">
        <f>SUM(E2 - D2) * 24</f>
        <v>3.5666666666666647</v>
      </c>
      <c r="I2" s="4">
        <f>G2 + H2 + F2</f>
        <v>8.3333333333333321</v>
      </c>
      <c r="J2" s="23">
        <f>IF(AND(C2 &lt;&gt; "", D2 &lt;&gt; ""), (SUM(D2 - C2) * 1440), " - ")</f>
        <v>45.000000000000078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0.53541666666666665</v>
      </c>
      <c r="D3" s="18">
        <v>0.56805555555555554</v>
      </c>
      <c r="E3" s="19">
        <v>0.66666666666666663</v>
      </c>
      <c r="F3" s="13">
        <v>0</v>
      </c>
      <c r="G3" s="12">
        <f>SUM(C3 - B3) * 24</f>
        <v>5.9333333333333336</v>
      </c>
      <c r="H3" s="13">
        <f>SUM(E3 - D3) * 24</f>
        <v>2.3666666666666663</v>
      </c>
      <c r="I3" s="4">
        <f t="shared" ref="I3:I6" si="0">G3 + H3 + F3</f>
        <v>8.3000000000000007</v>
      </c>
      <c r="J3" s="23">
        <f>IF(AND(C3 &lt;&gt; "", D3 &lt;&gt; ""), (SUM(D3 - C3) * 1440), " - ")</f>
        <v>46.999999999999993</v>
      </c>
      <c r="K3" s="24">
        <f>IF(AND((B3 &lt;&gt; ""), (C3 &lt;&gt; ""), (D3 &lt;&gt; ""), (E3 &lt;&gt; "")), IF((((8 - I3) * 60) + 1) &gt; 0, (((8 - I3) * 60) + 1), (((8 - I3) * 60) - 1)), "-")</f>
        <v>-19.000000000000043</v>
      </c>
    </row>
    <row r="4" spans="1:11" x14ac:dyDescent="0.35">
      <c r="A4" s="17" t="s">
        <v>7</v>
      </c>
      <c r="B4" s="18">
        <v>0.28819444444444442</v>
      </c>
      <c r="C4" s="18">
        <v>0.53333333333333333</v>
      </c>
      <c r="D4" s="18">
        <v>0.56458333333333333</v>
      </c>
      <c r="E4" s="19">
        <v>0.67013888888888884</v>
      </c>
      <c r="F4" s="20">
        <v>0</v>
      </c>
      <c r="G4" s="12">
        <f t="shared" ref="G4:G5" si="1">SUM(C4 - B4) * 24</f>
        <v>5.8833333333333337</v>
      </c>
      <c r="H4" s="13">
        <f t="shared" ref="H4:H6" si="2">SUM(E4 - D4) * 24</f>
        <v>2.5333333333333323</v>
      </c>
      <c r="I4" s="4">
        <f t="shared" si="0"/>
        <v>8.4166666666666661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-25.999999999999964</v>
      </c>
    </row>
    <row r="5" spans="1:11" x14ac:dyDescent="0.35">
      <c r="A5" s="17" t="s">
        <v>8</v>
      </c>
      <c r="B5" s="18">
        <v>0.28819444444444442</v>
      </c>
      <c r="C5" s="18">
        <v>0.5131944444444444</v>
      </c>
      <c r="D5" s="18">
        <v>0.5444444444444444</v>
      </c>
      <c r="E5" s="19">
        <v>0.66666666666666663</v>
      </c>
      <c r="F5" s="20">
        <v>0</v>
      </c>
      <c r="G5" s="12">
        <f t="shared" si="1"/>
        <v>5.3999999999999995</v>
      </c>
      <c r="H5" s="13">
        <f t="shared" si="2"/>
        <v>2.9333333333333336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1" ht="24" thickBot="1" x14ac:dyDescent="0.4">
      <c r="A6" s="15" t="s">
        <v>9</v>
      </c>
      <c r="B6" s="18">
        <v>0.28819444444444442</v>
      </c>
      <c r="C6" s="18">
        <v>0.46041666666666664</v>
      </c>
      <c r="D6" s="18">
        <v>0.49166666666666664</v>
      </c>
      <c r="E6" s="19">
        <v>0.66666666666666663</v>
      </c>
      <c r="F6" s="13">
        <v>0</v>
      </c>
      <c r="G6" s="12">
        <f>SUM(C6 - B6) * 24</f>
        <v>4.1333333333333329</v>
      </c>
      <c r="H6" s="13">
        <f t="shared" si="2"/>
        <v>4.1999999999999993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1" ht="36.75" thickBot="1" x14ac:dyDescent="0.6">
      <c r="B7" s="8"/>
      <c r="H7" s="2" t="s">
        <v>10</v>
      </c>
      <c r="I7" s="5">
        <f>SUM(I2:I6)</f>
        <v>41.716666666666654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-1.7166666666666544</v>
      </c>
      <c r="J9" s="9"/>
    </row>
  </sheetData>
  <conditionalFormatting sqref="I2:I6">
    <cfRule type="cellIs" dxfId="73" priority="4" operator="greaterThan">
      <formula>7.99999999</formula>
    </cfRule>
    <cfRule type="cellIs" dxfId="72" priority="5" operator="lessThan">
      <formula>8</formula>
    </cfRule>
  </conditionalFormatting>
  <conditionalFormatting sqref="I7">
    <cfRule type="cellIs" dxfId="71" priority="6" operator="lessThan">
      <formula>40</formula>
    </cfRule>
    <cfRule type="cellIs" dxfId="70" priority="7" operator="greaterThan">
      <formula>39.999999</formula>
    </cfRule>
  </conditionalFormatting>
  <conditionalFormatting sqref="K2:K6">
    <cfRule type="cellIs" dxfId="69" priority="1" operator="equal">
      <formula>"-"</formula>
    </cfRule>
    <cfRule type="cellIs" dxfId="68" priority="2" operator="greaterThan">
      <formula>0.1</formula>
    </cfRule>
    <cfRule type="cellIs" dxfId="67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B919-725B-4470-BF61-C5F4D54200FB}">
  <sheetPr codeName="Sheet15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0.4861111111111111</v>
      </c>
      <c r="D2" s="18">
        <v>0.51736111111111116</v>
      </c>
      <c r="E2" s="19">
        <v>0.66666666666666663</v>
      </c>
      <c r="F2" s="12">
        <v>0</v>
      </c>
      <c r="G2" s="12">
        <f>SUM(C2 - B2) * 24</f>
        <v>4.75</v>
      </c>
      <c r="H2" s="13">
        <f>SUM(E2 - D2) * 24</f>
        <v>3.5833333333333313</v>
      </c>
      <c r="I2" s="4">
        <f>G2 + H2 + F2</f>
        <v>8.3333333333333321</v>
      </c>
      <c r="J2" s="23">
        <f>IF(AND(C2 &lt;&gt; "", D2 &lt;&gt; ""), (SUM(D2 - C2) * 1440), " - ")</f>
        <v>45.000000000000078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0.50972222222222219</v>
      </c>
      <c r="D3" s="18">
        <v>0.54097222222222219</v>
      </c>
      <c r="E3" s="19">
        <v>0.66666666666666663</v>
      </c>
      <c r="F3" s="13">
        <v>0</v>
      </c>
      <c r="G3" s="12">
        <f>SUM(C3 - B3) * 24</f>
        <v>5.3166666666666664</v>
      </c>
      <c r="H3" s="13">
        <f>SUM(E3 - D3) * 24</f>
        <v>3.0166666666666666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0.50694444444444442</v>
      </c>
      <c r="D4" s="18">
        <v>0.53888888888888886</v>
      </c>
      <c r="E4" s="19">
        <v>0.66666666666666663</v>
      </c>
      <c r="F4" s="20">
        <v>0</v>
      </c>
      <c r="G4" s="12">
        <f t="shared" ref="G4:G5" si="1">SUM(C4 - B4) * 24</f>
        <v>5.25</v>
      </c>
      <c r="H4" s="13">
        <f t="shared" ref="H4:H6" si="2">SUM(E4 - D4) * 24</f>
        <v>3.0666666666666664</v>
      </c>
      <c r="I4" s="4">
        <f t="shared" si="0"/>
        <v>8.3166666666666664</v>
      </c>
      <c r="J4" s="23">
        <f t="shared" ref="J4:J6" si="3">IF(AND(C4 &lt;&gt; "", D4 &lt;&gt; ""), (SUM(D4 - C4) * 1440), " - ")</f>
        <v>46</v>
      </c>
      <c r="K4" s="24">
        <f t="shared" ref="K4:K5" si="4">IF(AND((B4 &lt;&gt; ""), (C4 &lt;&gt; ""), (D4 &lt;&gt; ""), (E4 &lt;&gt; "")), IF((((8 - I4) * 60) + 1) &gt; 0, (((8 - I4) * 60) + 1), (((8 - I4) * 60) - 1)), "-")</f>
        <v>-19.999999999999986</v>
      </c>
    </row>
    <row r="5" spans="1:11" x14ac:dyDescent="0.35">
      <c r="A5" s="17" t="s">
        <v>8</v>
      </c>
      <c r="B5" s="18">
        <v>0.28819444444444442</v>
      </c>
      <c r="C5" s="18">
        <v>0.50972222222222219</v>
      </c>
      <c r="D5" s="18">
        <v>0.53472222222222221</v>
      </c>
      <c r="E5" s="19">
        <v>0.66666666666666663</v>
      </c>
      <c r="F5" s="20">
        <v>0</v>
      </c>
      <c r="G5" s="12">
        <f t="shared" si="1"/>
        <v>5.3166666666666664</v>
      </c>
      <c r="H5" s="13">
        <f t="shared" si="2"/>
        <v>3.1666666666666661</v>
      </c>
      <c r="I5" s="4">
        <f t="shared" si="0"/>
        <v>8.4833333333333325</v>
      </c>
      <c r="J5" s="23">
        <f t="shared" si="3"/>
        <v>36.000000000000028</v>
      </c>
      <c r="K5" s="24">
        <f t="shared" si="4"/>
        <v>-29.99999999999995</v>
      </c>
    </row>
    <row r="6" spans="1:11" ht="24" thickBot="1" x14ac:dyDescent="0.4">
      <c r="A6" s="15" t="s">
        <v>9</v>
      </c>
      <c r="B6" s="18">
        <v>0.28819444444444442</v>
      </c>
      <c r="C6" s="18">
        <v>0.49722222222222223</v>
      </c>
      <c r="D6" s="18">
        <v>0.52847222222222223</v>
      </c>
      <c r="E6" s="19">
        <v>0.66666666666666663</v>
      </c>
      <c r="F6" s="13">
        <v>0</v>
      </c>
      <c r="G6" s="12">
        <f>SUM(C6 - B6) * 24</f>
        <v>5.0166666666666675</v>
      </c>
      <c r="H6" s="13">
        <f t="shared" si="2"/>
        <v>3.3166666666666655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1" ht="36.75" thickBot="1" x14ac:dyDescent="0.6">
      <c r="B7" s="8"/>
      <c r="H7" s="2" t="s">
        <v>10</v>
      </c>
      <c r="I7" s="5">
        <f>SUM(I2:I6)</f>
        <v>41.8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-1.7999999999999972</v>
      </c>
      <c r="J9" s="9"/>
    </row>
  </sheetData>
  <conditionalFormatting sqref="I2:I6">
    <cfRule type="cellIs" dxfId="66" priority="4" operator="greaterThan">
      <formula>7.99999999</formula>
    </cfRule>
    <cfRule type="cellIs" dxfId="65" priority="5" operator="lessThan">
      <formula>8</formula>
    </cfRule>
  </conditionalFormatting>
  <conditionalFormatting sqref="I7">
    <cfRule type="cellIs" dxfId="64" priority="6" operator="lessThan">
      <formula>40</formula>
    </cfRule>
    <cfRule type="cellIs" dxfId="63" priority="7" operator="greaterThan">
      <formula>39.999999</formula>
    </cfRule>
  </conditionalFormatting>
  <conditionalFormatting sqref="K2:K6">
    <cfRule type="cellIs" dxfId="62" priority="1" operator="equal">
      <formula>"-"</formula>
    </cfRule>
    <cfRule type="cellIs" dxfId="61" priority="2" operator="greaterThan">
      <formula>0.1</formula>
    </cfRule>
    <cfRule type="cellIs" dxfId="60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62B-72ED-4E9C-AD7D-0A261242E3DA}">
  <sheetPr codeName="Sheet16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0.46666666666666667</v>
      </c>
      <c r="D2" s="18">
        <v>0.49791666666666667</v>
      </c>
      <c r="E2" s="19">
        <v>0.67152777777777772</v>
      </c>
      <c r="F2" s="12">
        <v>0</v>
      </c>
      <c r="G2" s="12">
        <f>SUM(C2 - B2) * 24</f>
        <v>4.2833333333333341</v>
      </c>
      <c r="H2" s="13">
        <f>SUM(E2 - D2) * 24</f>
        <v>4.1666666666666652</v>
      </c>
      <c r="I2" s="4">
        <f>G2 + H2 + F2</f>
        <v>8.4499999999999993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-27.999999999999957</v>
      </c>
    </row>
    <row r="3" spans="1:11" x14ac:dyDescent="0.35">
      <c r="A3" s="17" t="s">
        <v>6</v>
      </c>
      <c r="B3" s="18">
        <v>0.28819444444444442</v>
      </c>
      <c r="C3" s="18">
        <v>0.54305555555555551</v>
      </c>
      <c r="D3" s="18">
        <v>0.57499999999999996</v>
      </c>
      <c r="E3" s="19">
        <v>0.66666666666666663</v>
      </c>
      <c r="F3" s="13">
        <v>0</v>
      </c>
      <c r="G3" s="12">
        <f>SUM(C3 - B3) * 24</f>
        <v>6.1166666666666663</v>
      </c>
      <c r="H3" s="13">
        <f>SUM(E3 - D3) * 24</f>
        <v>2.2000000000000002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1" x14ac:dyDescent="0.35">
      <c r="A4" s="17" t="s">
        <v>7</v>
      </c>
      <c r="B4" s="18">
        <v>0.28819444444444442</v>
      </c>
      <c r="C4" s="18">
        <v>0.49791666666666667</v>
      </c>
      <c r="D4" s="18">
        <v>0.52916666666666667</v>
      </c>
      <c r="E4" s="19">
        <v>0.66666666666666663</v>
      </c>
      <c r="F4" s="20">
        <v>0</v>
      </c>
      <c r="G4" s="12">
        <f t="shared" ref="G4:G5" si="1">SUM(C4 - B4) * 24</f>
        <v>5.0333333333333341</v>
      </c>
      <c r="H4" s="13">
        <f t="shared" ref="H4:H6" si="2">SUM(E4 - D4) * 24</f>
        <v>3.2999999999999989</v>
      </c>
      <c r="I4" s="4">
        <f t="shared" si="0"/>
        <v>8.3333333333333321</v>
      </c>
      <c r="J4" s="23">
        <f t="shared" ref="J4:J6" si="3">IF(AND(C4 &lt;&gt; "", D4 &lt;&gt; ""), (SUM(D4 - C4) * 1440), " - ")</f>
        <v>45</v>
      </c>
      <c r="K4" s="24">
        <f t="shared" ref="K4:K5" si="4">IF(AND((B4 &lt;&gt; ""), (C4 &lt;&gt; ""), (D4 &lt;&gt; ""), (E4 &lt;&gt; "")), IF((((8 - I4) * 60) + 1) &gt; 0, (((8 - I4) * 60) + 1), (((8 - I4) * 60) - 1)), "-")</f>
        <v>-20.999999999999929</v>
      </c>
    </row>
    <row r="5" spans="1:11" x14ac:dyDescent="0.35">
      <c r="A5" s="17" t="s">
        <v>8</v>
      </c>
      <c r="B5" s="18">
        <v>0.28819444444444442</v>
      </c>
      <c r="C5" s="18">
        <v>0.49652777777777779</v>
      </c>
      <c r="D5" s="18">
        <v>0.52777777777777779</v>
      </c>
      <c r="E5" s="19">
        <v>0.66666666666666663</v>
      </c>
      <c r="F5" s="20">
        <v>0</v>
      </c>
      <c r="G5" s="12">
        <f t="shared" si="1"/>
        <v>5.0000000000000009</v>
      </c>
      <c r="H5" s="13">
        <f t="shared" si="2"/>
        <v>3.3333333333333321</v>
      </c>
      <c r="I5" s="4">
        <f t="shared" si="0"/>
        <v>8.3333333333333321</v>
      </c>
      <c r="J5" s="23">
        <f t="shared" si="3"/>
        <v>45</v>
      </c>
      <c r="K5" s="24">
        <f t="shared" si="4"/>
        <v>-20.999999999999929</v>
      </c>
    </row>
    <row r="6" spans="1:11" ht="24" thickBot="1" x14ac:dyDescent="0.4">
      <c r="A6" s="15" t="s">
        <v>9</v>
      </c>
      <c r="B6" s="18">
        <v>0.28819444444444442</v>
      </c>
      <c r="C6" s="18">
        <v>0.47986111111111113</v>
      </c>
      <c r="D6" s="18">
        <v>0.51111111111111107</v>
      </c>
      <c r="E6" s="19">
        <v>0.66666666666666663</v>
      </c>
      <c r="F6" s="13">
        <v>0</v>
      </c>
      <c r="G6" s="12">
        <f>SUM(C6 - B6) * 24</f>
        <v>4.6000000000000014</v>
      </c>
      <c r="H6" s="13">
        <f t="shared" si="2"/>
        <v>3.7333333333333334</v>
      </c>
      <c r="I6" s="4">
        <f t="shared" si="0"/>
        <v>8.3333333333333357</v>
      </c>
      <c r="J6" s="23">
        <f t="shared" si="3"/>
        <v>44.999999999999922</v>
      </c>
      <c r="K6" s="24">
        <f>IF(AND((B6 &lt;&gt; ""), (C6 &lt;&gt; ""), (D6 &lt;&gt; ""), (E6 &lt;&gt; "")), IF((((8 - I6) * 60) + 1) &gt; 0, (((8 - I6) * 60) + 1), (((8 - I6) * 60) - 1)), "-")</f>
        <v>-21.000000000000142</v>
      </c>
    </row>
    <row r="7" spans="1:11" ht="36.75" thickBot="1" x14ac:dyDescent="0.6">
      <c r="B7" s="8"/>
      <c r="H7" s="2" t="s">
        <v>10</v>
      </c>
      <c r="I7" s="5">
        <f>SUM(I2:I6)</f>
        <v>41.766666666666666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-1.7666666666666657</v>
      </c>
      <c r="J9" s="9"/>
    </row>
  </sheetData>
  <conditionalFormatting sqref="I2:I6">
    <cfRule type="cellIs" dxfId="59" priority="4" operator="greaterThan">
      <formula>7.99999999</formula>
    </cfRule>
    <cfRule type="cellIs" dxfId="58" priority="5" operator="lessThan">
      <formula>8</formula>
    </cfRule>
  </conditionalFormatting>
  <conditionalFormatting sqref="I7">
    <cfRule type="cellIs" dxfId="57" priority="6" operator="lessThan">
      <formula>40</formula>
    </cfRule>
    <cfRule type="cellIs" dxfId="56" priority="7" operator="greaterThan">
      <formula>39.999999</formula>
    </cfRule>
  </conditionalFormatting>
  <conditionalFormatting sqref="K2:K6">
    <cfRule type="cellIs" dxfId="55" priority="1" operator="equal">
      <formula>"-"</formula>
    </cfRule>
    <cfRule type="cellIs" dxfId="54" priority="2" operator="greaterThan">
      <formula>0.1</formula>
    </cfRule>
    <cfRule type="cellIs" dxfId="53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92A3-2C6C-4BB1-A17D-B212952900B5}">
  <sheetPr codeName="Sheet1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0.49236111111111114</v>
      </c>
      <c r="D2" s="18">
        <v>0.52361111111111114</v>
      </c>
      <c r="E2" s="19">
        <v>0.66666666666666663</v>
      </c>
      <c r="F2" s="12"/>
      <c r="G2" s="12">
        <f>SUM(C2 - B2) * 24</f>
        <v>4.9000000000000012</v>
      </c>
      <c r="H2" s="13">
        <f>SUM(E2 - D2) * 24</f>
        <v>3.4333333333333318</v>
      </c>
      <c r="I2" s="4">
        <f>G2 + H2 + F2</f>
        <v>8.3333333333333321</v>
      </c>
      <c r="J2" s="23">
        <f>IF(AND(C2 &lt;&gt; "", D2 &lt;&gt; ""), (SUM(D2 - C2) * 1440), " - ")</f>
        <v>45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0.50347222222222221</v>
      </c>
      <c r="D3" s="18">
        <v>0.53472222222222221</v>
      </c>
      <c r="E3" s="19">
        <v>0.66666666666666663</v>
      </c>
      <c r="F3" s="13">
        <v>0</v>
      </c>
      <c r="G3" s="12">
        <f>SUM(C3 - B3) * 24</f>
        <v>5.166666666666667</v>
      </c>
      <c r="H3" s="13">
        <f>SUM(E3 - D3) * 24</f>
        <v>3.1666666666666661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0.48888888888888887</v>
      </c>
      <c r="D4" s="18">
        <v>0.52083333333333337</v>
      </c>
      <c r="E4" s="19">
        <v>0.66666666666666663</v>
      </c>
      <c r="F4" s="20">
        <v>0</v>
      </c>
      <c r="G4" s="12">
        <f t="shared" ref="G4:G5" si="1">SUM(C4 - B4) * 24</f>
        <v>4.8166666666666664</v>
      </c>
      <c r="H4" s="13">
        <f t="shared" ref="H4:H6" si="2">SUM(E4 - D4) * 24</f>
        <v>3.4999999999999982</v>
      </c>
      <c r="I4" s="4">
        <f t="shared" si="0"/>
        <v>8.3166666666666647</v>
      </c>
      <c r="J4" s="23">
        <f t="shared" ref="J4:J6" si="3">IF(AND(C4 &lt;&gt; "", D4 &lt;&gt; ""), (SUM(D4 - C4) * 1440), " - ")</f>
        <v>46.000000000000078</v>
      </c>
      <c r="K4" s="24">
        <f t="shared" ref="K4:K5" si="4">IF(AND((B4 &lt;&gt; ""), (C4 &lt;&gt; ""), (D4 &lt;&gt; ""), (E4 &lt;&gt; "")), IF((((8 - I4) * 60) + 1) &gt; 0, (((8 - I4) * 60) + 1), (((8 - I4) * 60) - 1)), "-")</f>
        <v>-19.999999999999879</v>
      </c>
    </row>
    <row r="5" spans="1:11" x14ac:dyDescent="0.35">
      <c r="A5" s="17" t="s">
        <v>8</v>
      </c>
      <c r="B5" s="18">
        <v>0.28749999999999998</v>
      </c>
      <c r="C5" s="18">
        <v>0.49236111111111114</v>
      </c>
      <c r="D5" s="18">
        <v>0.52361111111111114</v>
      </c>
      <c r="E5" s="19">
        <v>0.66736111111111107</v>
      </c>
      <c r="F5" s="20">
        <v>0</v>
      </c>
      <c r="G5" s="12">
        <f t="shared" si="1"/>
        <v>4.9166666666666679</v>
      </c>
      <c r="H5" s="13">
        <f t="shared" si="2"/>
        <v>3.4499999999999984</v>
      </c>
      <c r="I5" s="4">
        <f t="shared" si="0"/>
        <v>8.3666666666666671</v>
      </c>
      <c r="J5" s="23">
        <f t="shared" si="3"/>
        <v>45</v>
      </c>
      <c r="K5" s="24">
        <f t="shared" si="4"/>
        <v>-23.000000000000028</v>
      </c>
    </row>
    <row r="6" spans="1:11" ht="24" thickBot="1" x14ac:dyDescent="0.4">
      <c r="A6" s="15" t="s">
        <v>9</v>
      </c>
      <c r="B6" s="18">
        <v>0.28819444444444442</v>
      </c>
      <c r="C6" s="18">
        <v>0.49583333333333335</v>
      </c>
      <c r="D6" s="18">
        <v>0.52708333333333335</v>
      </c>
      <c r="E6" s="19">
        <v>0.66666666666666663</v>
      </c>
      <c r="F6" s="13">
        <v>0</v>
      </c>
      <c r="G6" s="12">
        <f>SUM(C6 - B6) * 24</f>
        <v>4.9833333333333343</v>
      </c>
      <c r="H6" s="13">
        <f t="shared" si="2"/>
        <v>3.3499999999999988</v>
      </c>
      <c r="I6" s="4">
        <f t="shared" si="0"/>
        <v>8.3333333333333321</v>
      </c>
      <c r="J6" s="23">
        <f t="shared" si="3"/>
        <v>45</v>
      </c>
      <c r="K6" s="24">
        <f>IF(AND((B6 &lt;&gt; ""), (C6 &lt;&gt; ""), (D6 &lt;&gt; ""), (E6 &lt;&gt; "")), IF((((8 - I6) * 60) + 1) &gt; 0, (((8 - I6) * 60) + 1), (((8 - I6) * 60) - 1)), "-")</f>
        <v>-20.999999999999929</v>
      </c>
    </row>
    <row r="7" spans="1:11" ht="36.75" thickBot="1" x14ac:dyDescent="0.6">
      <c r="B7" s="8"/>
      <c r="H7" s="2" t="s">
        <v>10</v>
      </c>
      <c r="I7" s="5">
        <f>SUM(I2:I6)</f>
        <v>41.683333333333323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-1.6833333333333229</v>
      </c>
      <c r="J9" s="9"/>
    </row>
  </sheetData>
  <conditionalFormatting sqref="I2:I6">
    <cfRule type="cellIs" dxfId="52" priority="4" operator="greaterThan">
      <formula>7.99999999</formula>
    </cfRule>
    <cfRule type="cellIs" dxfId="51" priority="5" operator="lessThan">
      <formula>8</formula>
    </cfRule>
  </conditionalFormatting>
  <conditionalFormatting sqref="I7">
    <cfRule type="cellIs" dxfId="50" priority="6" operator="lessThan">
      <formula>40</formula>
    </cfRule>
    <cfRule type="cellIs" dxfId="49" priority="7" operator="greaterThan">
      <formula>39.999999</formula>
    </cfRule>
  </conditionalFormatting>
  <conditionalFormatting sqref="K2:K6">
    <cfRule type="cellIs" dxfId="48" priority="1" operator="equal">
      <formula>"-"</formula>
    </cfRule>
    <cfRule type="cellIs" dxfId="47" priority="2" operator="greaterThan">
      <formula>0.1</formula>
    </cfRule>
    <cfRule type="cellIs" dxfId="46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D0F-7335-47D0-BF21-3425CD9F803A}">
  <sheetPr codeName="Sheet2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0.49166666666666664</v>
      </c>
      <c r="D2" s="18">
        <v>0.5229166666666667</v>
      </c>
      <c r="E2" s="19">
        <v>0.66666666666666663</v>
      </c>
      <c r="F2" s="12"/>
      <c r="G2" s="12">
        <f>SUM(C2 - B2) * 24</f>
        <v>4.8833333333333329</v>
      </c>
      <c r="H2" s="13">
        <f>SUM(E2 - D2) * 24</f>
        <v>3.4499999999999984</v>
      </c>
      <c r="I2" s="4">
        <f>G2 + H2 + F2</f>
        <v>8.3333333333333321</v>
      </c>
      <c r="J2" s="23">
        <f>IF(AND(C2 &lt;&gt; "", D2 &lt;&gt; ""), (SUM(D2 - C2) * 1440), " - ")</f>
        <v>45.000000000000078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0.52083333333333337</v>
      </c>
      <c r="D3" s="18">
        <v>0.55208333333333337</v>
      </c>
      <c r="E3" s="19">
        <v>0.66666666666666663</v>
      </c>
      <c r="F3" s="13">
        <v>0</v>
      </c>
      <c r="G3" s="12">
        <f>SUM(C3 - B3) * 24</f>
        <v>5.5833333333333348</v>
      </c>
      <c r="H3" s="13">
        <f>SUM(E3 - D3) * 24</f>
        <v>2.7499999999999982</v>
      </c>
      <c r="I3" s="4">
        <f t="shared" ref="I3:I6" si="0">G3 + H3 + F3</f>
        <v>8.3333333333333321</v>
      </c>
      <c r="J3" s="23">
        <f>IF(AND(C3 &lt;&gt; "", D3 &lt;&gt; ""), (SUM(D3 - C3) * 1440), " - ")</f>
        <v>45</v>
      </c>
      <c r="K3" s="24">
        <f>IF(AND((B3 &lt;&gt; ""), (C3 &lt;&gt; ""), (D3 &lt;&gt; ""), (E3 &lt;&gt; "")), IF((((8 - I3) * 60) + 1) &gt; 0, (((8 - I3) * 60) + 1), (((8 - I3) * 60) - 1)), "-")</f>
        <v>-20.999999999999929</v>
      </c>
    </row>
    <row r="4" spans="1:11" x14ac:dyDescent="0.35">
      <c r="A4" s="17" t="s">
        <v>7</v>
      </c>
      <c r="B4" s="18">
        <v>0.28819444444444442</v>
      </c>
      <c r="C4" s="18">
        <v>0.49861111111111112</v>
      </c>
      <c r="D4" s="18">
        <v>0.53333333333333333</v>
      </c>
      <c r="E4" s="19">
        <v>0.66666666666666663</v>
      </c>
      <c r="F4" s="20">
        <v>0</v>
      </c>
      <c r="G4" s="12">
        <f t="shared" ref="G4:G5" si="1">SUM(C4 - B4) * 24</f>
        <v>5.0500000000000007</v>
      </c>
      <c r="H4" s="13">
        <f t="shared" ref="H4:H6" si="2">SUM(E4 - D4) * 24</f>
        <v>3.1999999999999993</v>
      </c>
      <c r="I4" s="4">
        <f t="shared" si="0"/>
        <v>8.25</v>
      </c>
      <c r="J4" s="23">
        <f t="shared" ref="J4:J6" si="3">IF(AND(C4 &lt;&gt; "", D4 &lt;&gt; ""), (SUM(D4 - C4) * 1440), " - ")</f>
        <v>49.999999999999986</v>
      </c>
      <c r="K4" s="24">
        <f t="shared" ref="K4:K5" si="4">IF(AND((B4 &lt;&gt; ""), (C4 &lt;&gt; ""), (D4 &lt;&gt; ""), (E4 &lt;&gt; "")), IF((((8 - I4) * 60) + 1) &gt; 0, (((8 - I4) * 60) + 1), (((8 - I4) * 60) - 1)), "-")</f>
        <v>-16</v>
      </c>
    </row>
    <row r="5" spans="1:11" x14ac:dyDescent="0.35">
      <c r="A5" s="17" t="s">
        <v>8</v>
      </c>
      <c r="B5" s="18">
        <v>0.28749999999999998</v>
      </c>
      <c r="C5" s="18">
        <v>0.4861111111111111</v>
      </c>
      <c r="D5" s="18">
        <v>0.51666666666666672</v>
      </c>
      <c r="E5" s="19">
        <v>0.66666666666666663</v>
      </c>
      <c r="F5" s="20">
        <v>0</v>
      </c>
      <c r="G5" s="12">
        <f t="shared" si="1"/>
        <v>4.7666666666666675</v>
      </c>
      <c r="H5" s="13">
        <f t="shared" si="2"/>
        <v>3.5999999999999979</v>
      </c>
      <c r="I5" s="4">
        <f t="shared" si="0"/>
        <v>8.3666666666666654</v>
      </c>
      <c r="J5" s="23">
        <f t="shared" si="3"/>
        <v>44.000000000000085</v>
      </c>
      <c r="K5" s="24">
        <f t="shared" si="4"/>
        <v>-22.999999999999922</v>
      </c>
    </row>
    <row r="6" spans="1:11" ht="24" thickBot="1" x14ac:dyDescent="0.4">
      <c r="A6" s="15" t="s">
        <v>9</v>
      </c>
      <c r="B6" s="18">
        <v>0.28819444444444442</v>
      </c>
      <c r="C6" s="18">
        <v>0.49930555555555556</v>
      </c>
      <c r="D6" s="18">
        <v>0.52916666666666667</v>
      </c>
      <c r="E6" s="19">
        <v>0.66666666666666663</v>
      </c>
      <c r="F6" s="13">
        <v>0</v>
      </c>
      <c r="G6" s="12">
        <f>SUM(C6 - B6) * 24</f>
        <v>5.0666666666666673</v>
      </c>
      <c r="H6" s="13">
        <f t="shared" si="2"/>
        <v>3.2999999999999989</v>
      </c>
      <c r="I6" s="4">
        <f t="shared" si="0"/>
        <v>8.3666666666666671</v>
      </c>
      <c r="J6" s="23">
        <f t="shared" si="3"/>
        <v>43.000000000000007</v>
      </c>
      <c r="K6" s="24">
        <f>IF(AND((B6 &lt;&gt; ""), (C6 &lt;&gt; ""), (D6 &lt;&gt; ""), (E6 &lt;&gt; "")), IF((((8 - I6) * 60) + 1) &gt; 0, (((8 - I6) * 60) + 1), (((8 - I6) * 60) - 1)), "-")</f>
        <v>-23.000000000000028</v>
      </c>
    </row>
    <row r="7" spans="1:11" ht="36.75" thickBot="1" x14ac:dyDescent="0.6">
      <c r="B7" s="8"/>
      <c r="H7" s="2" t="s">
        <v>10</v>
      </c>
      <c r="I7" s="5">
        <f>SUM(I2:I6)</f>
        <v>41.65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-1.6499999999999986</v>
      </c>
      <c r="J9" s="9"/>
    </row>
  </sheetData>
  <conditionalFormatting sqref="I2:I6">
    <cfRule type="cellIs" dxfId="45" priority="4" operator="greaterThan">
      <formula>7.99999999</formula>
    </cfRule>
    <cfRule type="cellIs" dxfId="44" priority="5" operator="lessThan">
      <formula>8</formula>
    </cfRule>
  </conditionalFormatting>
  <conditionalFormatting sqref="I7">
    <cfRule type="cellIs" dxfId="43" priority="6" operator="lessThan">
      <formula>40</formula>
    </cfRule>
    <cfRule type="cellIs" dxfId="42" priority="7" operator="greaterThan">
      <formula>39.999999</formula>
    </cfRule>
  </conditionalFormatting>
  <conditionalFormatting sqref="K2:K6">
    <cfRule type="cellIs" dxfId="41" priority="1" operator="equal">
      <formula>"-"</formula>
    </cfRule>
    <cfRule type="cellIs" dxfId="40" priority="2" operator="greaterThan">
      <formula>0.1</formula>
    </cfRule>
    <cfRule type="cellIs" dxfId="39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2761-6510-4C0D-B773-3EBA8BFCE913}">
  <sheetPr codeName="Sheet3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0.47916666666666669</v>
      </c>
      <c r="D2" s="18">
        <v>0.51111111111111107</v>
      </c>
      <c r="E2" s="19">
        <v>0.66666666666666663</v>
      </c>
      <c r="F2" s="12"/>
      <c r="G2" s="12">
        <f>SUM(C2 - B2) * 24</f>
        <v>4.5833333333333339</v>
      </c>
      <c r="H2" s="13">
        <f>SUM(E2 - D2) * 24</f>
        <v>3.7333333333333334</v>
      </c>
      <c r="I2" s="4">
        <f>G2 + H2 + F2</f>
        <v>8.3166666666666664</v>
      </c>
      <c r="J2" s="23">
        <f>IF(AND(C2 &lt;&gt; "", D2 &lt;&gt; ""), (SUM(D2 - C2) * 1440), " - ")</f>
        <v>45.999999999999915</v>
      </c>
      <c r="K2" s="24">
        <f>IF(AND((B2 &lt;&gt; ""), (C2 &lt;&gt; ""), (D2 &lt;&gt; ""), (E2 &lt;&gt; "")), IF((((8 - I2) * 60) + 1) &gt; 0, (((8 - I2) * 60) + 1), (((8 - I2) * 60) - 1)), "-")</f>
        <v>-19.999999999999986</v>
      </c>
    </row>
    <row r="3" spans="1:11" x14ac:dyDescent="0.35">
      <c r="A3" s="17" t="s">
        <v>6</v>
      </c>
      <c r="B3" s="18">
        <v>0.28819444444444442</v>
      </c>
      <c r="C3" s="18">
        <v>0.45902777777777776</v>
      </c>
      <c r="D3" s="18">
        <v>0.4909722222222222</v>
      </c>
      <c r="E3" s="19">
        <v>0.66666666666666663</v>
      </c>
      <c r="F3" s="13">
        <v>0</v>
      </c>
      <c r="G3" s="12">
        <f>SUM(C3 - B3) * 24</f>
        <v>4.0999999999999996</v>
      </c>
      <c r="H3" s="13">
        <f>SUM(E3 - D3) * 24</f>
        <v>4.2166666666666668</v>
      </c>
      <c r="I3" s="4">
        <f t="shared" ref="I3:I6" si="0">G3 + H3 + F3</f>
        <v>8.3166666666666664</v>
      </c>
      <c r="J3" s="23">
        <f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-19.999999999999986</v>
      </c>
    </row>
    <row r="4" spans="1:11" x14ac:dyDescent="0.35">
      <c r="A4" s="17" t="s">
        <v>7</v>
      </c>
      <c r="B4" s="18">
        <v>0.28819444444444442</v>
      </c>
      <c r="C4" s="18">
        <v>0.48125000000000001</v>
      </c>
      <c r="D4" s="18">
        <v>0.51041666666666663</v>
      </c>
      <c r="E4" s="19">
        <v>0.66666666666666663</v>
      </c>
      <c r="F4" s="20">
        <v>0</v>
      </c>
      <c r="G4" s="12">
        <f t="shared" ref="G4:G5" si="1">SUM(C4 - B4) * 24</f>
        <v>4.6333333333333346</v>
      </c>
      <c r="H4" s="13">
        <f t="shared" ref="H4:H6" si="2">SUM(E4 - D4) * 24</f>
        <v>3.75</v>
      </c>
      <c r="I4" s="4">
        <f t="shared" si="0"/>
        <v>8.3833333333333346</v>
      </c>
      <c r="J4" s="23">
        <f t="shared" ref="J4:J6" si="3">IF(AND(C4 &lt;&gt; "", D4 &lt;&gt; ""), (SUM(D4 - C4) * 1440), " - ")</f>
        <v>41.999999999999929</v>
      </c>
      <c r="K4" s="24">
        <f t="shared" ref="K4:K5" si="4">IF(AND((B4 &lt;&gt; ""), (C4 &lt;&gt; ""), (D4 &lt;&gt; ""), (E4 &lt;&gt; "")), IF((((8 - I4) * 60) + 1) &gt; 0, (((8 - I4) * 60) + 1), (((8 - I4) * 60) - 1)), "-")</f>
        <v>-24.000000000000078</v>
      </c>
    </row>
    <row r="5" spans="1:11" x14ac:dyDescent="0.35">
      <c r="A5" s="17" t="s">
        <v>8</v>
      </c>
      <c r="B5" s="18">
        <v>0.28749999999999998</v>
      </c>
      <c r="C5" s="18">
        <v>0.47569444444444442</v>
      </c>
      <c r="D5" s="18">
        <v>0.50624999999999998</v>
      </c>
      <c r="E5" s="19">
        <v>0.66666666666666663</v>
      </c>
      <c r="F5" s="20">
        <v>0</v>
      </c>
      <c r="G5" s="12">
        <f t="shared" si="1"/>
        <v>4.5166666666666666</v>
      </c>
      <c r="H5" s="13">
        <f t="shared" si="2"/>
        <v>3.8499999999999996</v>
      </c>
      <c r="I5" s="4">
        <f t="shared" si="0"/>
        <v>8.3666666666666671</v>
      </c>
      <c r="J5" s="23">
        <f t="shared" si="3"/>
        <v>44</v>
      </c>
      <c r="K5" s="24">
        <f t="shared" si="4"/>
        <v>-23.000000000000028</v>
      </c>
    </row>
    <row r="6" spans="1:11" ht="24" thickBot="1" x14ac:dyDescent="0.4">
      <c r="A6" s="15" t="s">
        <v>9</v>
      </c>
      <c r="B6" s="18">
        <v>0.28819444444444442</v>
      </c>
      <c r="C6" s="18">
        <v>0.47916666666666669</v>
      </c>
      <c r="D6" s="18">
        <v>0.51041666666666663</v>
      </c>
      <c r="E6" s="19">
        <v>0.66874999999999996</v>
      </c>
      <c r="F6" s="13">
        <v>0</v>
      </c>
      <c r="G6" s="12">
        <f>SUM(C6 - B6) * 24</f>
        <v>4.5833333333333339</v>
      </c>
      <c r="H6" s="13">
        <f t="shared" si="2"/>
        <v>3.8</v>
      </c>
      <c r="I6" s="4">
        <f t="shared" si="0"/>
        <v>8.3833333333333329</v>
      </c>
      <c r="J6" s="23">
        <f t="shared" si="3"/>
        <v>44.999999999999922</v>
      </c>
      <c r="K6" s="24">
        <f>IF(AND((B6 &lt;&gt; ""), (C6 &lt;&gt; ""), (D6 &lt;&gt; ""), (E6 &lt;&gt; "")), IF((((8 - I6) * 60) + 1) &gt; 0, (((8 - I6) * 60) + 1), (((8 - I6) * 60) - 1)), "-")</f>
        <v>-23.999999999999972</v>
      </c>
    </row>
    <row r="7" spans="1:11" ht="36.75" thickBot="1" x14ac:dyDescent="0.6">
      <c r="B7" s="8"/>
      <c r="H7" s="2" t="s">
        <v>10</v>
      </c>
      <c r="I7" s="5">
        <f>SUM(I2:I6)</f>
        <v>41.766666666666666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-1.7666666666666657</v>
      </c>
      <c r="J9" s="9"/>
    </row>
  </sheetData>
  <conditionalFormatting sqref="I2:I6">
    <cfRule type="cellIs" dxfId="38" priority="4" operator="greaterThan">
      <formula>7.99999999</formula>
    </cfRule>
    <cfRule type="cellIs" dxfId="37" priority="5" operator="lessThan">
      <formula>8</formula>
    </cfRule>
  </conditionalFormatting>
  <conditionalFormatting sqref="I7">
    <cfRule type="cellIs" dxfId="36" priority="6" operator="lessThan">
      <formula>40</formula>
    </cfRule>
    <cfRule type="cellIs" dxfId="35" priority="7" operator="greaterThan">
      <formula>39.999999</formula>
    </cfRule>
  </conditionalFormatting>
  <conditionalFormatting sqref="K2:K6">
    <cfRule type="cellIs" dxfId="34" priority="1" operator="equal">
      <formula>"-"</formula>
    </cfRule>
    <cfRule type="cellIs" dxfId="33" priority="2" operator="greaterThan">
      <formula>0.1</formula>
    </cfRule>
    <cfRule type="cellIs" dxfId="32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EE90-5012-4C51-918F-A8ACEA813BC3}">
  <sheetPr codeName="Sheet4"/>
  <dimension ref="A1:K9"/>
  <sheetViews>
    <sheetView zoomScale="85" zoomScaleNormal="85" workbookViewId="0">
      <selection activeCell="D6" sqref="D6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28"/>
      <c r="C2" s="28"/>
      <c r="D2" s="28"/>
      <c r="E2" s="29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(SUM(D2 - C2) * 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</row>
    <row r="3" spans="1:11" x14ac:dyDescent="0.35">
      <c r="A3" s="17" t="s">
        <v>6</v>
      </c>
      <c r="B3" s="18">
        <v>0.25972222222222224</v>
      </c>
      <c r="C3" s="18">
        <v>0.52708333333333335</v>
      </c>
      <c r="D3" s="18">
        <v>0.55902777777777779</v>
      </c>
      <c r="E3" s="19">
        <v>0.66666666666666663</v>
      </c>
      <c r="F3" s="13">
        <v>0</v>
      </c>
      <c r="G3" s="12">
        <f>SUM(C3 - B3) * 24</f>
        <v>6.4166666666666661</v>
      </c>
      <c r="H3" s="13">
        <f t="shared" ref="H3:H6" si="0">SUM(E3 - D3) * 24</f>
        <v>2.5833333333333321</v>
      </c>
      <c r="I3" s="4">
        <f t="shared" ref="I3:I6" si="1">G3 + H3 + F3</f>
        <v>8.9999999999999982</v>
      </c>
      <c r="J3" s="23">
        <f t="shared" ref="J3:J6" si="2">IF(AND(C3 &lt;&gt; "", D3 &lt;&gt; ""), (SUM(D3 - C3) * 1440), " - ")</f>
        <v>46</v>
      </c>
      <c r="K3" s="24">
        <f>IF(AND((B3 &lt;&gt; ""), (C3 &lt;&gt; ""), (D3 &lt;&gt; ""), (E3 &lt;&gt; "")), IF((((8 - I3) * 60) + 1) &gt; 0, (((8 - I3) * 60) + 1), (((8 - I3) * 60) - 1)), "-")</f>
        <v>-60.999999999999893</v>
      </c>
    </row>
    <row r="4" spans="1:11" x14ac:dyDescent="0.35">
      <c r="A4" s="17" t="s">
        <v>7</v>
      </c>
      <c r="B4" s="18">
        <v>0.25694444444444442</v>
      </c>
      <c r="C4" s="18">
        <v>0.48333333333333334</v>
      </c>
      <c r="D4" s="18">
        <v>0.51458333333333328</v>
      </c>
      <c r="E4" s="19">
        <v>0.66666666666666663</v>
      </c>
      <c r="F4" s="20">
        <v>0</v>
      </c>
      <c r="G4" s="12">
        <f t="shared" ref="G4:G5" si="3">SUM(C4 - B4) * 24</f>
        <v>5.4333333333333336</v>
      </c>
      <c r="H4" s="13">
        <f t="shared" si="0"/>
        <v>3.6500000000000004</v>
      </c>
      <c r="I4" s="4">
        <f t="shared" si="1"/>
        <v>9.0833333333333339</v>
      </c>
      <c r="J4" s="23">
        <f t="shared" si="2"/>
        <v>44.999999999999922</v>
      </c>
      <c r="K4" s="24">
        <f t="shared" ref="K4:K5" si="4">IF(AND((B4 &lt;&gt; ""), (C4 &lt;&gt; ""), (D4 &lt;&gt; ""), (E4 &lt;&gt; "")), IF((((8 - I4) * 60) + 1) &gt; 0, (((8 - I4) * 60) + 1), (((8 - I4) * 60) - 1)), "-")</f>
        <v>-66.000000000000028</v>
      </c>
    </row>
    <row r="5" spans="1:11" x14ac:dyDescent="0.35">
      <c r="A5" s="17" t="s">
        <v>8</v>
      </c>
      <c r="B5" s="18">
        <v>0.27152777777777776</v>
      </c>
      <c r="C5" s="18">
        <v>0.48055555555555557</v>
      </c>
      <c r="D5" s="18">
        <v>0.5131944444444444</v>
      </c>
      <c r="E5" s="19">
        <v>0.60416666666666663</v>
      </c>
      <c r="F5" s="20">
        <v>0</v>
      </c>
      <c r="G5" s="12">
        <f t="shared" si="3"/>
        <v>5.0166666666666675</v>
      </c>
      <c r="H5" s="13">
        <f t="shared" si="0"/>
        <v>2.1833333333333336</v>
      </c>
      <c r="I5" s="4">
        <f t="shared" si="1"/>
        <v>7.2000000000000011</v>
      </c>
      <c r="J5" s="23">
        <f t="shared" si="2"/>
        <v>46.999999999999915</v>
      </c>
      <c r="K5" s="24">
        <f t="shared" si="4"/>
        <v>48.999999999999936</v>
      </c>
    </row>
    <row r="6" spans="1:11" ht="24" thickBot="1" x14ac:dyDescent="0.4">
      <c r="A6" s="15" t="s">
        <v>9</v>
      </c>
      <c r="B6" s="18">
        <v>0.28819444444444442</v>
      </c>
      <c r="C6" s="18">
        <v>0.48333333333333334</v>
      </c>
      <c r="D6" s="18">
        <v>0.51458333333333328</v>
      </c>
      <c r="E6" s="19">
        <v>0.66666666666666663</v>
      </c>
      <c r="F6" s="13">
        <v>0</v>
      </c>
      <c r="G6" s="12">
        <f>SUM(C6 - B6) * 24</f>
        <v>4.6833333333333336</v>
      </c>
      <c r="H6" s="13">
        <f t="shared" si="0"/>
        <v>3.6500000000000004</v>
      </c>
      <c r="I6" s="4">
        <f t="shared" si="1"/>
        <v>8.3333333333333339</v>
      </c>
      <c r="J6" s="23">
        <f t="shared" si="2"/>
        <v>44.999999999999922</v>
      </c>
      <c r="K6" s="24">
        <f>IF(AND((B6 &lt;&gt; ""), (C6 &lt;&gt; ""), (D6 &lt;&gt; ""), (E6 &lt;&gt; "")), IF((((8 - I6) * 60) + 1) &gt; 0, (((8 - I6) * 60) + 1), (((8 - I6) * 60) - 1)), "-")</f>
        <v>-21.000000000000036</v>
      </c>
    </row>
    <row r="7" spans="1:11" ht="36.75" thickBot="1" x14ac:dyDescent="0.6">
      <c r="B7" s="8"/>
      <c r="H7" s="2" t="s">
        <v>10</v>
      </c>
      <c r="I7" s="5">
        <f>SUM(I2:I6)</f>
        <v>41.616666666666674</v>
      </c>
    </row>
    <row r="8" spans="1:11" ht="24" thickBot="1" x14ac:dyDescent="0.4"/>
    <row r="9" spans="1:11" ht="24" thickBot="1" x14ac:dyDescent="0.4">
      <c r="F9" s="30"/>
      <c r="H9" s="6" t="s">
        <v>11</v>
      </c>
      <c r="I9" s="7">
        <f>40-I7</f>
        <v>-1.6166666666666742</v>
      </c>
      <c r="J9" s="9"/>
    </row>
  </sheetData>
  <conditionalFormatting sqref="I2:I6">
    <cfRule type="cellIs" dxfId="31" priority="4" operator="greaterThan">
      <formula>7.99999999</formula>
    </cfRule>
    <cfRule type="cellIs" dxfId="30" priority="5" operator="lessThan">
      <formula>8</formula>
    </cfRule>
  </conditionalFormatting>
  <conditionalFormatting sqref="I7">
    <cfRule type="cellIs" dxfId="29" priority="6" operator="lessThan">
      <formula>40</formula>
    </cfRule>
    <cfRule type="cellIs" dxfId="28" priority="7" operator="greaterThan">
      <formula>39.999999</formula>
    </cfRule>
  </conditionalFormatting>
  <conditionalFormatting sqref="K2:K6">
    <cfRule type="cellIs" dxfId="27" priority="1" operator="equal">
      <formula>"-"</formula>
    </cfRule>
    <cfRule type="cellIs" dxfId="26" priority="2" operator="greaterThan">
      <formula>0.1</formula>
    </cfRule>
    <cfRule type="cellIs" dxfId="25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E03D-292C-4DB1-B63A-5181DA17BCD2}">
  <sheetPr codeName="Sheet5"/>
  <dimension ref="A1:K9"/>
  <sheetViews>
    <sheetView zoomScale="85" zoomScaleNormal="85" workbookViewId="0">
      <selection activeCell="I2" sqref="I2"/>
    </sheetView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0.48888888888888887</v>
      </c>
      <c r="D2" s="18">
        <v>0.52013888888888893</v>
      </c>
      <c r="E2" s="19">
        <v>0.66666666666666663</v>
      </c>
      <c r="F2" s="12">
        <v>0</v>
      </c>
      <c r="G2" s="12">
        <f>SUM(C2 - B2) * 24</f>
        <v>4.8166666666666664</v>
      </c>
      <c r="H2" s="13">
        <f>SUM(E2 - D2) * 24</f>
        <v>3.5166666666666648</v>
      </c>
      <c r="I2" s="4">
        <f>G2 + H2 + F2</f>
        <v>8.3333333333333321</v>
      </c>
      <c r="J2" s="23">
        <f>IF(AND(C2 &lt;&gt; "", D2 &lt;&gt; ""), (SUM(D2-C2)*1440), " - ")</f>
        <v>45.000000000000078</v>
      </c>
      <c r="K2" s="24">
        <f>IF(AND((B2 &lt;&gt; ""), (C2 &lt;&gt; ""), (D2 &lt;&gt; ""), (E2 &lt;&gt; "")), IF((((8 - I2) * 60) + 1) &gt; 0, (((8 - I2) * 60) + 1), (((8 - I2) * 60) - 1)), "-")</f>
        <v>-20.999999999999929</v>
      </c>
    </row>
    <row r="3" spans="1:11" x14ac:dyDescent="0.35">
      <c r="A3" s="17" t="s">
        <v>6</v>
      </c>
      <c r="B3" s="18">
        <v>0.28819444444444442</v>
      </c>
      <c r="C3" s="18">
        <v>0.53263888888888888</v>
      </c>
      <c r="D3" s="18">
        <v>0.5625</v>
      </c>
      <c r="E3" s="19">
        <v>0.66666666666666663</v>
      </c>
      <c r="F3" s="13">
        <v>0</v>
      </c>
      <c r="G3" s="12">
        <f t="shared" ref="G3:G6" si="0">SUM(C3 - B3) * 24</f>
        <v>5.8666666666666671</v>
      </c>
      <c r="H3" s="13">
        <f t="shared" ref="H3:H6" si="1">SUM(E3 - D3) * 24</f>
        <v>2.4999999999999991</v>
      </c>
      <c r="I3" s="4">
        <f t="shared" ref="I3:I6" si="2">G3 + H3 + F3</f>
        <v>8.3666666666666671</v>
      </c>
      <c r="J3" s="25">
        <f>IF(AND(C3 &lt;&gt; "", D3 &lt;&gt; ""), (SUM(D3-C3)*1440), " - ")</f>
        <v>43.000000000000007</v>
      </c>
      <c r="K3" s="24">
        <f t="shared" ref="K3:K6" si="3">IF(AND((B3 &lt;&gt; ""), (C3 &lt;&gt; ""), (D3 &lt;&gt; ""), (E3 &lt;&gt; "")), IF((((8 - I3) * 60) + 1) &gt; 0, (((8 - I3) * 60) + 1), (((8 - I3) * 60) - 1)), "-")</f>
        <v>-23.000000000000028</v>
      </c>
    </row>
    <row r="4" spans="1:11" x14ac:dyDescent="0.35">
      <c r="A4" s="17" t="s">
        <v>7</v>
      </c>
      <c r="B4" s="18">
        <v>0.28819444444444442</v>
      </c>
      <c r="C4" s="18">
        <v>0.48125000000000001</v>
      </c>
      <c r="D4" s="18">
        <v>0.51249999999999996</v>
      </c>
      <c r="E4" s="19">
        <v>0.66666666666666663</v>
      </c>
      <c r="F4" s="20">
        <v>0</v>
      </c>
      <c r="G4" s="12">
        <f t="shared" si="0"/>
        <v>4.6333333333333346</v>
      </c>
      <c r="H4" s="13">
        <f t="shared" si="1"/>
        <v>3.7</v>
      </c>
      <c r="I4" s="4">
        <f t="shared" si="2"/>
        <v>8.3333333333333357</v>
      </c>
      <c r="J4" s="25">
        <f>IF(AND(C4 &lt;&gt; "", D4 &lt;&gt; ""), (SUM(D4-C4)*1440), " - ")</f>
        <v>44.999999999999922</v>
      </c>
      <c r="K4" s="24">
        <f t="shared" si="3"/>
        <v>-21.000000000000142</v>
      </c>
    </row>
    <row r="5" spans="1:11" x14ac:dyDescent="0.35">
      <c r="A5" s="17" t="s">
        <v>8</v>
      </c>
      <c r="B5" s="18">
        <v>0.28680555555555554</v>
      </c>
      <c r="C5" s="18">
        <v>0.46180555555555558</v>
      </c>
      <c r="D5" s="18">
        <v>0.49236111111111114</v>
      </c>
      <c r="E5" s="19">
        <v>0.66666666666666663</v>
      </c>
      <c r="F5" s="20">
        <v>0</v>
      </c>
      <c r="G5" s="12">
        <f t="shared" si="0"/>
        <v>4.2000000000000011</v>
      </c>
      <c r="H5" s="13">
        <f t="shared" si="1"/>
        <v>4.1833333333333318</v>
      </c>
      <c r="I5" s="4">
        <f t="shared" si="2"/>
        <v>8.3833333333333329</v>
      </c>
      <c r="J5" s="25">
        <f t="shared" ref="J5:J6" si="4">IF(AND(C5 &lt;&gt; "", D5 &lt;&gt; ""), (SUM(D5-C5)*1440), " - ")</f>
        <v>44</v>
      </c>
      <c r="K5" s="24">
        <f t="shared" si="3"/>
        <v>-23.999999999999972</v>
      </c>
    </row>
    <row r="6" spans="1:11" ht="24" thickBot="1" x14ac:dyDescent="0.4">
      <c r="A6" s="15" t="s">
        <v>9</v>
      </c>
      <c r="B6" s="18">
        <v>0.28819444444444442</v>
      </c>
      <c r="C6" s="18">
        <v>0.48819444444444443</v>
      </c>
      <c r="D6" s="18">
        <v>0.51944444444444449</v>
      </c>
      <c r="E6" s="19">
        <v>0.66666666666666663</v>
      </c>
      <c r="F6" s="13">
        <v>0</v>
      </c>
      <c r="G6" s="12">
        <f t="shared" si="0"/>
        <v>4.8000000000000007</v>
      </c>
      <c r="H6" s="13">
        <f t="shared" si="1"/>
        <v>3.5333333333333314</v>
      </c>
      <c r="I6" s="4">
        <f t="shared" si="2"/>
        <v>8.3333333333333321</v>
      </c>
      <c r="J6" s="25">
        <f t="shared" si="4"/>
        <v>45.000000000000078</v>
      </c>
      <c r="K6" s="24">
        <f t="shared" si="3"/>
        <v>-20.999999999999929</v>
      </c>
    </row>
    <row r="7" spans="1:11" ht="36.75" thickBot="1" x14ac:dyDescent="0.6">
      <c r="B7" s="8"/>
      <c r="H7" s="2" t="s">
        <v>10</v>
      </c>
      <c r="I7" s="5">
        <f>SUM(I2:I6)</f>
        <v>41.75</v>
      </c>
    </row>
    <row r="8" spans="1:11" ht="24" thickBot="1" x14ac:dyDescent="0.4"/>
    <row r="9" spans="1:11" ht="24" thickBot="1" x14ac:dyDescent="0.4">
      <c r="H9" s="6" t="s">
        <v>11</v>
      </c>
      <c r="I9" s="7">
        <f>40-I7</f>
        <v>-1.75</v>
      </c>
      <c r="J9" s="9"/>
    </row>
  </sheetData>
  <conditionalFormatting sqref="I2:I6">
    <cfRule type="cellIs" dxfId="24" priority="4" operator="greaterThan">
      <formula>7.99999999</formula>
    </cfRule>
    <cfRule type="cellIs" dxfId="23" priority="5" operator="lessThan">
      <formula>8</formula>
    </cfRule>
  </conditionalFormatting>
  <conditionalFormatting sqref="I7">
    <cfRule type="cellIs" dxfId="22" priority="6" operator="lessThan">
      <formula>40</formula>
    </cfRule>
    <cfRule type="cellIs" dxfId="21" priority="7" operator="greaterThan">
      <formula>39.999999</formula>
    </cfRule>
  </conditionalFormatting>
  <conditionalFormatting sqref="K2:K6">
    <cfRule type="cellIs" dxfId="20" priority="1" operator="equal">
      <formula>"-"</formula>
    </cfRule>
    <cfRule type="cellIs" dxfId="19" priority="2" operator="greaterThan">
      <formula>0.1</formula>
    </cfRule>
    <cfRule type="cellIs" dxfId="18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ACDE-6195-4DB9-A92D-BF18FED2E100}">
  <sheetPr codeName="Sheet6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0.49722222222222223</v>
      </c>
      <c r="D2" s="18">
        <v>0.52916666666666667</v>
      </c>
      <c r="E2" s="19">
        <v>0.66666666666666663</v>
      </c>
      <c r="F2" s="12">
        <v>0</v>
      </c>
      <c r="G2" s="12">
        <f>SUM(C2 - B2) * 24</f>
        <v>5.0166666666666675</v>
      </c>
      <c r="H2" s="13">
        <f>SUM(E2 - D2) * 24</f>
        <v>3.2999999999999989</v>
      </c>
      <c r="I2" s="4">
        <f>G2 + H2 + F2</f>
        <v>8.3166666666666664</v>
      </c>
      <c r="J2" s="23">
        <f>IF(AND(C2 &lt;&gt; "", D2 &lt;&gt; ""), (SUM(D2-C2)*1440), " - ")</f>
        <v>46</v>
      </c>
      <c r="K2" s="24">
        <f>IF(AND((B2 &lt;&gt; ""), (C2 &lt;&gt; ""), (D2 &lt;&gt; ""), (E2 &lt;&gt; "")), IF((((8 - I2) * 60) + 1) &gt; 0, (((8 - I2) * 60) + 1), (((8 - I2) * 60) - 1)), "-")</f>
        <v>-19.999999999999986</v>
      </c>
    </row>
    <row r="3" spans="1:11" x14ac:dyDescent="0.35">
      <c r="A3" s="17" t="s">
        <v>6</v>
      </c>
      <c r="B3" s="18">
        <v>0.28819444444444442</v>
      </c>
      <c r="C3" s="18">
        <v>0.4826388888888889</v>
      </c>
      <c r="D3" s="18">
        <v>0.51249999999999996</v>
      </c>
      <c r="E3" s="19">
        <v>0.66666666666666663</v>
      </c>
      <c r="F3" s="13">
        <v>0</v>
      </c>
      <c r="G3" s="12">
        <f t="shared" ref="G3:G6" si="0">SUM(C3 - B3) * 24</f>
        <v>4.6666666666666679</v>
      </c>
      <c r="H3" s="13">
        <f t="shared" ref="H3:H6" si="1">SUM(E3 - D3) * 24</f>
        <v>3.7</v>
      </c>
      <c r="I3" s="4">
        <f t="shared" ref="I3:I6" si="2">G3 + H3 + F3</f>
        <v>8.3666666666666671</v>
      </c>
      <c r="J3" s="25">
        <f>IF(AND(C3 &lt;&gt; "", D3 &lt;&gt; ""), (SUM(D3-C3)*1440), " - ")</f>
        <v>42.999999999999929</v>
      </c>
      <c r="K3" s="24">
        <f t="shared" ref="K3:K6" si="3">IF(AND((B3&lt;&gt;""), (C3&lt;&gt;""), (D3&lt;&gt;""), (E3&lt;&gt;"")), IF((((8-I3)*60)+1) &gt; 0, (((8-I3)*60)+1), (((8-I3)*60)-1)), "-")</f>
        <v>-23.000000000000028</v>
      </c>
    </row>
    <row r="4" spans="1:11" x14ac:dyDescent="0.35">
      <c r="A4" s="17" t="s">
        <v>7</v>
      </c>
      <c r="B4" s="18">
        <v>0.28819444444444442</v>
      </c>
      <c r="C4" s="18">
        <v>0.49722222222222223</v>
      </c>
      <c r="D4" s="18">
        <v>0.52708333333333335</v>
      </c>
      <c r="E4" s="19">
        <v>0.66666666666666663</v>
      </c>
      <c r="F4" s="20">
        <v>0</v>
      </c>
      <c r="G4" s="12">
        <f t="shared" si="0"/>
        <v>5.0166666666666675</v>
      </c>
      <c r="H4" s="13">
        <f t="shared" si="1"/>
        <v>3.3499999999999988</v>
      </c>
      <c r="I4" s="4">
        <f t="shared" si="2"/>
        <v>8.3666666666666671</v>
      </c>
      <c r="J4" s="25">
        <f>IF(AND(C4 &lt;&gt; "", D4 &lt;&gt; ""), (SUM(D4-C4)*1440), " - ")</f>
        <v>43.000000000000007</v>
      </c>
      <c r="K4" s="24">
        <f t="shared" si="3"/>
        <v>-23.000000000000028</v>
      </c>
    </row>
    <row r="5" spans="1:11" x14ac:dyDescent="0.35">
      <c r="A5" s="17" t="s">
        <v>8</v>
      </c>
      <c r="B5" s="18">
        <v>0.28819444444444442</v>
      </c>
      <c r="C5" s="18">
        <v>0.4826388888888889</v>
      </c>
      <c r="D5" s="18">
        <v>0.51041666666666663</v>
      </c>
      <c r="E5" s="19">
        <v>0.66736111111111107</v>
      </c>
      <c r="F5" s="20">
        <v>0</v>
      </c>
      <c r="G5" s="12">
        <f t="shared" si="0"/>
        <v>4.6666666666666679</v>
      </c>
      <c r="H5" s="13">
        <f t="shared" si="1"/>
        <v>3.7666666666666666</v>
      </c>
      <c r="I5" s="4">
        <f t="shared" si="2"/>
        <v>8.4333333333333336</v>
      </c>
      <c r="J5" s="25">
        <f t="shared" ref="J5:J6" si="4">IF(AND(C5 &lt;&gt; "", D5 &lt;&gt; ""), (SUM(D5-C5)*1440), " - ")</f>
        <v>39.999999999999936</v>
      </c>
      <c r="K5" s="24">
        <f t="shared" si="3"/>
        <v>-27.000000000000014</v>
      </c>
    </row>
    <row r="6" spans="1:11" ht="24" thickBot="1" x14ac:dyDescent="0.4">
      <c r="A6" s="15" t="s">
        <v>9</v>
      </c>
      <c r="B6" s="18">
        <v>0.28819444444444442</v>
      </c>
      <c r="C6" s="18">
        <v>0.47986111111111113</v>
      </c>
      <c r="D6" s="18">
        <v>0.51041666666666663</v>
      </c>
      <c r="E6" s="19">
        <v>0.66666666666666663</v>
      </c>
      <c r="F6" s="13">
        <v>0</v>
      </c>
      <c r="G6" s="12">
        <f t="shared" si="0"/>
        <v>4.6000000000000014</v>
      </c>
      <c r="H6" s="13">
        <f t="shared" si="1"/>
        <v>3.75</v>
      </c>
      <c r="I6" s="4">
        <f t="shared" si="2"/>
        <v>8.3500000000000014</v>
      </c>
      <c r="J6" s="25">
        <f t="shared" si="4"/>
        <v>43.999999999999922</v>
      </c>
      <c r="K6" s="24">
        <f t="shared" si="3"/>
        <v>-22.000000000000085</v>
      </c>
    </row>
    <row r="7" spans="1:11" ht="36.75" thickBot="1" x14ac:dyDescent="0.6">
      <c r="B7" s="8"/>
      <c r="H7" s="2" t="s">
        <v>10</v>
      </c>
      <c r="I7" s="5">
        <f>SUM(I2:I6)</f>
        <v>41.833333333333336</v>
      </c>
    </row>
    <row r="8" spans="1:11" ht="24" thickBot="1" x14ac:dyDescent="0.4"/>
    <row r="9" spans="1:11" ht="24" thickBot="1" x14ac:dyDescent="0.4">
      <c r="H9" s="6" t="s">
        <v>11</v>
      </c>
      <c r="I9" s="7">
        <f>40-I7</f>
        <v>-1.8333333333333357</v>
      </c>
      <c r="J9" s="9"/>
    </row>
  </sheetData>
  <conditionalFormatting sqref="I2:I6">
    <cfRule type="cellIs" dxfId="17" priority="4" operator="greaterThan">
      <formula>7.99999999</formula>
    </cfRule>
    <cfRule type="cellIs" dxfId="16" priority="5" operator="lessThan">
      <formula>8</formula>
    </cfRule>
  </conditionalFormatting>
  <conditionalFormatting sqref="I7">
    <cfRule type="cellIs" dxfId="15" priority="6" operator="lessThan">
      <formula>40</formula>
    </cfRule>
    <cfRule type="cellIs" dxfId="14" priority="7" operator="greaterThan">
      <formula>39.999999</formula>
    </cfRule>
  </conditionalFormatting>
  <conditionalFormatting sqref="K2:K6">
    <cfRule type="cellIs" dxfId="13" priority="1" operator="equal">
      <formula>"-"</formula>
    </cfRule>
    <cfRule type="cellIs" dxfId="12" priority="2" operator="greaterThan">
      <formula>0.1</formula>
    </cfRule>
    <cfRule type="cellIs" dxfId="11" priority="3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2B3F-0402-459B-8797-FBA3078BA306}">
  <sheetPr codeName="Sheet7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18">
        <v>0.28819444444444442</v>
      </c>
      <c r="C2" s="18">
        <v>0.50902777777777775</v>
      </c>
      <c r="D2" s="18">
        <v>0.53819444444444442</v>
      </c>
      <c r="E2" s="19">
        <v>0.66666666666666663</v>
      </c>
      <c r="F2" s="12">
        <v>0</v>
      </c>
      <c r="G2" s="12">
        <f>SUM(C2 - B2) * 24</f>
        <v>5.3</v>
      </c>
      <c r="H2" s="13">
        <f>SUM(E2 - D2) * 24</f>
        <v>3.083333333333333</v>
      </c>
      <c r="I2" s="4">
        <f>G2 + H2 + F2</f>
        <v>8.3833333333333329</v>
      </c>
      <c r="J2" s="23">
        <f>IF(AND(C2 &lt;&gt; "", D2 &lt;&gt; ""), (SUM(D2-C2)*1440), " - ")</f>
        <v>42.000000000000014</v>
      </c>
      <c r="K2" s="24">
        <f>IF(AND((B2 &lt;&gt; ""), (C2 &lt;&gt; ""), (D2 &lt;&gt; ""), (E2 &lt;&gt; "")), IF((((8 - I2) * 60) + 1) &gt; 0, (((8 - I2) * 60) + 1), (((8 - I2) * 60) - 1)), "-")</f>
        <v>-23.999999999999972</v>
      </c>
    </row>
    <row r="3" spans="1:11" x14ac:dyDescent="0.35">
      <c r="A3" s="17" t="s">
        <v>6</v>
      </c>
      <c r="B3" s="18">
        <v>0.28819444444444442</v>
      </c>
      <c r="C3" s="18">
        <v>0.5</v>
      </c>
      <c r="D3" s="18">
        <v>0.53333333333333333</v>
      </c>
      <c r="E3" s="19">
        <v>0.66666666666666663</v>
      </c>
      <c r="F3" s="13">
        <v>0</v>
      </c>
      <c r="G3" s="12">
        <f t="shared" ref="G3:G6" si="0">SUM(C3 - B3) * 24</f>
        <v>5.0833333333333339</v>
      </c>
      <c r="H3" s="13">
        <f t="shared" ref="H3:H6" si="1">SUM(E3 - D3) * 24</f>
        <v>3.1999999999999993</v>
      </c>
      <c r="I3" s="4">
        <f t="shared" ref="I3:I6" si="2">G3 + H3 + F3</f>
        <v>8.2833333333333332</v>
      </c>
      <c r="J3" s="25">
        <f>IF(AND(C3 &lt;&gt; "", D3 &lt;&gt; ""), (SUM(D3-C3)*1440), " - ")</f>
        <v>47.999999999999986</v>
      </c>
      <c r="K3" s="24">
        <f t="shared" ref="K3:K6" si="3">IF(AND((B3&lt;&gt;""), (C3&lt;&gt;""), (D3&lt;&gt;""), (E3&lt;&gt;"")), IF((((8-I3)*60)+1) &gt; 0, (((8-I3)*60)+1), (((8-I3)*60)-1)), "-")</f>
        <v>-17.999999999999993</v>
      </c>
    </row>
    <row r="4" spans="1:11" x14ac:dyDescent="0.35">
      <c r="A4" s="17" t="s">
        <v>7</v>
      </c>
      <c r="B4" s="18">
        <v>0.28819444444444442</v>
      </c>
      <c r="C4" s="18">
        <v>0.51249999999999996</v>
      </c>
      <c r="D4" s="18">
        <v>0.54236111111111107</v>
      </c>
      <c r="E4" s="19">
        <v>0.66666666666666663</v>
      </c>
      <c r="F4" s="20">
        <v>0</v>
      </c>
      <c r="G4" s="12">
        <f t="shared" si="0"/>
        <v>5.3833333333333329</v>
      </c>
      <c r="H4" s="13">
        <f t="shared" si="1"/>
        <v>2.9833333333333334</v>
      </c>
      <c r="I4" s="4">
        <f t="shared" si="2"/>
        <v>8.3666666666666671</v>
      </c>
      <c r="J4" s="25">
        <f>IF(AND(C4 &lt;&gt; "", D4 &lt;&gt; ""), (SUM(D4-C4)*1440), " - ")</f>
        <v>43.000000000000007</v>
      </c>
      <c r="K4" s="24">
        <f t="shared" si="3"/>
        <v>-23.000000000000028</v>
      </c>
    </row>
    <row r="5" spans="1:11" x14ac:dyDescent="0.35">
      <c r="A5" s="17" t="s">
        <v>8</v>
      </c>
      <c r="B5" s="18">
        <v>0.28680555555555554</v>
      </c>
      <c r="C5" s="18">
        <v>0.49166666666666664</v>
      </c>
      <c r="D5" s="18">
        <v>0.52500000000000002</v>
      </c>
      <c r="E5" s="19">
        <v>0.66666666666666663</v>
      </c>
      <c r="F5" s="20">
        <v>0</v>
      </c>
      <c r="G5" s="12">
        <f t="shared" si="0"/>
        <v>4.9166666666666661</v>
      </c>
      <c r="H5" s="13">
        <f t="shared" si="1"/>
        <v>3.3999999999999986</v>
      </c>
      <c r="I5" s="4">
        <f t="shared" si="2"/>
        <v>8.3166666666666647</v>
      </c>
      <c r="J5" s="25">
        <f t="shared" ref="J5:J6" si="4">IF(AND(C5 &lt;&gt; "", D5 &lt;&gt; ""), (SUM(D5-C5)*1440), " - ")</f>
        <v>48.000000000000071</v>
      </c>
      <c r="K5" s="24">
        <f t="shared" si="3"/>
        <v>-19.999999999999879</v>
      </c>
    </row>
    <row r="6" spans="1:11" ht="24" thickBot="1" x14ac:dyDescent="0.4">
      <c r="A6" s="15" t="s">
        <v>9</v>
      </c>
      <c r="B6" s="18">
        <v>0.28819444444444442</v>
      </c>
      <c r="C6" s="18">
        <v>0.48194444444444445</v>
      </c>
      <c r="D6" s="18">
        <v>0.51527777777777772</v>
      </c>
      <c r="E6" s="19">
        <v>0.66666666666666663</v>
      </c>
      <c r="F6" s="13">
        <v>0</v>
      </c>
      <c r="G6" s="12">
        <f t="shared" si="0"/>
        <v>4.6500000000000004</v>
      </c>
      <c r="H6" s="13">
        <f t="shared" si="1"/>
        <v>3.6333333333333337</v>
      </c>
      <c r="I6" s="4">
        <f t="shared" si="2"/>
        <v>8.283333333333335</v>
      </c>
      <c r="J6" s="25">
        <f t="shared" si="4"/>
        <v>47.999999999999908</v>
      </c>
      <c r="K6" s="24">
        <f t="shared" si="3"/>
        <v>-18.000000000000099</v>
      </c>
    </row>
    <row r="7" spans="1:11" ht="36.75" thickBot="1" x14ac:dyDescent="0.6">
      <c r="B7" s="8"/>
      <c r="H7" s="2" t="s">
        <v>10</v>
      </c>
      <c r="I7" s="5">
        <f>SUM(I2:I6)</f>
        <v>41.633333333333326</v>
      </c>
    </row>
    <row r="8" spans="1:11" ht="24" thickBot="1" x14ac:dyDescent="0.4"/>
    <row r="9" spans="1:11" ht="24" thickBot="1" x14ac:dyDescent="0.4">
      <c r="H9" s="6" t="s">
        <v>11</v>
      </c>
      <c r="I9" s="7">
        <f>40-I7</f>
        <v>-1.6333333333333258</v>
      </c>
      <c r="J9" s="9"/>
    </row>
  </sheetData>
  <conditionalFormatting sqref="I2:I6">
    <cfRule type="cellIs" dxfId="10" priority="5" operator="greaterThan">
      <formula>7.99999999</formula>
    </cfRule>
    <cfRule type="cellIs" dxfId="9" priority="6" operator="lessThan">
      <formula>8</formula>
    </cfRule>
  </conditionalFormatting>
  <conditionalFormatting sqref="I7">
    <cfRule type="cellIs" dxfId="8" priority="7" operator="lessThan">
      <formula>40</formula>
    </cfRule>
    <cfRule type="cellIs" dxfId="7" priority="8" operator="greaterThan">
      <formula>39.999999</formula>
    </cfRule>
  </conditionalFormatting>
  <conditionalFormatting sqref="K2:K6">
    <cfRule type="cellIs" dxfId="6" priority="1" operator="equal">
      <formula>"-"</formula>
    </cfRule>
    <cfRule type="cellIs" dxfId="5" priority="3" operator="greaterThan">
      <formula>0.1</formula>
    </cfRule>
    <cfRule type="cellIs" dxfId="4" priority="4" operator="lessThan">
      <formula>0.1</formula>
    </cfRule>
  </conditionalFormatting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5A15-C473-48BC-AEB4-1ACDA3652BC5}">
  <sheetPr codeName="Sheet8"/>
  <dimension ref="A1:K9"/>
  <sheetViews>
    <sheetView zoomScale="85" zoomScaleNormal="85" workbookViewId="0"/>
  </sheetViews>
  <sheetFormatPr defaultRowHeight="23.25" x14ac:dyDescent="0.35"/>
  <cols>
    <col min="1" max="1" width="18.42578125" style="1" bestFit="1" customWidth="1"/>
    <col min="2" max="3" width="15.42578125" style="3" customWidth="1"/>
    <col min="4" max="4" width="22.5703125" style="3" bestFit="1" customWidth="1"/>
    <col min="5" max="5" width="20.5703125" style="3" customWidth="1"/>
    <col min="6" max="6" width="21.7109375" style="3" bestFit="1" customWidth="1"/>
    <col min="7" max="7" width="23.28515625" style="3" customWidth="1"/>
    <col min="8" max="8" width="26" style="3" bestFit="1" customWidth="1"/>
    <col min="9" max="9" width="18.140625" style="3" bestFit="1" customWidth="1"/>
    <col min="10" max="10" width="11" bestFit="1" customWidth="1"/>
    <col min="11" max="11" width="20.42578125" bestFit="1" customWidth="1"/>
  </cols>
  <sheetData>
    <row r="1" spans="1:11" ht="46.5" x14ac:dyDescent="0.35">
      <c r="A1" s="14"/>
      <c r="B1" s="11" t="s">
        <v>0</v>
      </c>
      <c r="C1" s="21" t="s">
        <v>13</v>
      </c>
      <c r="D1" s="21" t="s">
        <v>14</v>
      </c>
      <c r="E1" s="16" t="s">
        <v>1</v>
      </c>
      <c r="F1" s="21" t="s">
        <v>15</v>
      </c>
      <c r="G1" s="10" t="s">
        <v>2</v>
      </c>
      <c r="H1" s="11" t="s">
        <v>3</v>
      </c>
      <c r="I1" s="11" t="s">
        <v>4</v>
      </c>
      <c r="J1" s="21" t="s">
        <v>12</v>
      </c>
      <c r="K1" s="22" t="s">
        <v>16</v>
      </c>
    </row>
    <row r="2" spans="1:11" x14ac:dyDescent="0.35">
      <c r="A2" s="17" t="s">
        <v>5</v>
      </c>
      <c r="B2" s="26"/>
      <c r="C2" s="26"/>
      <c r="D2" s="26"/>
      <c r="E2" s="27"/>
      <c r="F2" s="12">
        <v>8</v>
      </c>
      <c r="G2" s="12">
        <f>SUM(C2 - B2) * 24</f>
        <v>0</v>
      </c>
      <c r="H2" s="13">
        <f>SUM(E2 - D2) * 24</f>
        <v>0</v>
      </c>
      <c r="I2" s="4">
        <f>G2 + H2 + F2</f>
        <v>8</v>
      </c>
      <c r="J2" s="23" t="str">
        <f>IF(AND(C2 &lt;&gt; "", D2 &lt;&gt; ""), (SUM(D2-C2)*1440), " - ")</f>
        <v xml:space="preserve"> - </v>
      </c>
      <c r="K2" s="24" t="str">
        <f>IF(AND((B2 &lt;&gt; ""), (C2 &lt;&gt; ""), (D2 &lt;&gt; ""), (E2 &lt;&gt; "")), IF((((8 - I2) * 60) + 1) &gt; 0, (((8 - I2) * 60) + 1), (((8 - I2) * 60) - 1)), "-")</f>
        <v>-</v>
      </c>
    </row>
    <row r="3" spans="1:11" x14ac:dyDescent="0.35">
      <c r="A3" s="17" t="s">
        <v>6</v>
      </c>
      <c r="B3" s="26"/>
      <c r="C3" s="26"/>
      <c r="D3" s="26"/>
      <c r="E3" s="27"/>
      <c r="F3" s="13">
        <v>8</v>
      </c>
      <c r="G3" s="12">
        <f t="shared" ref="G3:G6" si="0">SUM(C3 - B3) * 24</f>
        <v>0</v>
      </c>
      <c r="H3" s="13">
        <f t="shared" ref="H3:H6" si="1">SUM(E3 - D3) * 24</f>
        <v>0</v>
      </c>
      <c r="I3" s="4">
        <f t="shared" ref="I3:I6" si="2">G3 + H3 + F3</f>
        <v>8</v>
      </c>
      <c r="J3" s="25" t="str">
        <f>IF(AND(C3 &lt;&gt; "", D3 &lt;&gt; ""), (SUM(D3-C3)*1440), " - ")</f>
        <v xml:space="preserve"> - </v>
      </c>
      <c r="K3" s="24" t="str">
        <f t="shared" ref="K3:K6" si="3">IF(AND((B3&lt;&gt;""), (C3&lt;&gt;""), (D3&lt;&gt;""), (E3&lt;&gt;"")), IF((((8-I3)*60)+1) &gt; 0, (((8-I3)*60)+1), (((8-I3)*60)-1)), "-")</f>
        <v>-</v>
      </c>
    </row>
    <row r="4" spans="1:11" x14ac:dyDescent="0.35">
      <c r="A4" s="17" t="s">
        <v>7</v>
      </c>
      <c r="B4" s="26"/>
      <c r="C4" s="26"/>
      <c r="D4" s="26"/>
      <c r="E4" s="27"/>
      <c r="F4" s="20">
        <v>8</v>
      </c>
      <c r="G4" s="12">
        <f t="shared" si="0"/>
        <v>0</v>
      </c>
      <c r="H4" s="13">
        <f t="shared" si="1"/>
        <v>0</v>
      </c>
      <c r="I4" s="4">
        <f t="shared" si="2"/>
        <v>8</v>
      </c>
      <c r="J4" s="25" t="str">
        <f>IF(AND(C4 &lt;&gt; "", D4 &lt;&gt; ""), (SUM(D4-C4)*1440), " - ")</f>
        <v xml:space="preserve"> - </v>
      </c>
      <c r="K4" s="24" t="str">
        <f t="shared" si="3"/>
        <v>-</v>
      </c>
    </row>
    <row r="5" spans="1:11" x14ac:dyDescent="0.35">
      <c r="A5" s="17" t="s">
        <v>8</v>
      </c>
      <c r="B5" s="18">
        <v>0.28472222222222221</v>
      </c>
      <c r="C5" s="18">
        <v>0.2902777777777778</v>
      </c>
      <c r="D5" s="18">
        <v>0.3298611111111111</v>
      </c>
      <c r="E5" s="19">
        <v>0.66666666666666663</v>
      </c>
      <c r="F5" s="20">
        <v>0</v>
      </c>
      <c r="G5" s="12">
        <f t="shared" si="0"/>
        <v>0.13333333333333419</v>
      </c>
      <c r="H5" s="13">
        <f t="shared" si="1"/>
        <v>8.0833333333333321</v>
      </c>
      <c r="I5" s="4">
        <f t="shared" si="2"/>
        <v>8.2166666666666668</v>
      </c>
      <c r="J5" s="25">
        <f t="shared" ref="J5:J6" si="4">IF(AND(C5 &lt;&gt; "", D5 &lt;&gt; ""), (SUM(D5-C5)*1440), " - ")</f>
        <v>56.999999999999957</v>
      </c>
      <c r="K5" s="24">
        <f t="shared" si="3"/>
        <v>-14.000000000000007</v>
      </c>
    </row>
    <row r="6" spans="1:11" ht="24" thickBot="1" x14ac:dyDescent="0.4">
      <c r="A6" s="15" t="s">
        <v>9</v>
      </c>
      <c r="B6" s="18">
        <v>0.28819444444444442</v>
      </c>
      <c r="C6" s="18">
        <v>0.49861111111111112</v>
      </c>
      <c r="D6" s="18">
        <v>0.53541666666666665</v>
      </c>
      <c r="E6" s="19">
        <v>0.66666666666666663</v>
      </c>
      <c r="F6" s="13">
        <v>0</v>
      </c>
      <c r="G6" s="12">
        <f t="shared" si="0"/>
        <v>5.0500000000000007</v>
      </c>
      <c r="H6" s="13">
        <f t="shared" si="1"/>
        <v>3.1499999999999995</v>
      </c>
      <c r="I6" s="4">
        <f t="shared" si="2"/>
        <v>8.1999999999999993</v>
      </c>
      <c r="J6" s="25">
        <f t="shared" si="4"/>
        <v>52.999999999999972</v>
      </c>
      <c r="K6" s="24">
        <f t="shared" si="3"/>
        <v>-12.999999999999957</v>
      </c>
    </row>
    <row r="7" spans="1:11" ht="36.75" thickBot="1" x14ac:dyDescent="0.6">
      <c r="B7" s="8"/>
      <c r="H7" s="2" t="s">
        <v>10</v>
      </c>
      <c r="I7" s="5">
        <f>SUM(I2:I6)</f>
        <v>40.416666666666671</v>
      </c>
    </row>
    <row r="8" spans="1:11" ht="24" thickBot="1" x14ac:dyDescent="0.4"/>
    <row r="9" spans="1:11" ht="24" thickBot="1" x14ac:dyDescent="0.4">
      <c r="H9" s="6" t="s">
        <v>11</v>
      </c>
      <c r="I9" s="7">
        <f>40-I7</f>
        <v>-0.4166666666666714</v>
      </c>
      <c r="J9" s="9"/>
    </row>
  </sheetData>
  <conditionalFormatting sqref="I2:I6">
    <cfRule type="cellIs" dxfId="3" priority="1" operator="greaterThan">
      <formula>7.99999999</formula>
    </cfRule>
    <cfRule type="cellIs" dxfId="2" priority="2" operator="lessThan">
      <formula>8</formula>
    </cfRule>
  </conditionalFormatting>
  <conditionalFormatting sqref="I7">
    <cfRule type="cellIs" dxfId="1" priority="3" operator="lessThan">
      <formula>40</formula>
    </cfRule>
    <cfRule type="cellIs" dxfId="0" priority="4" operator="greaterThan">
      <formula>39.999999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20251229</vt:lpstr>
      <vt:lpstr>20251222</vt:lpstr>
      <vt:lpstr>20251215</vt:lpstr>
      <vt:lpstr>20251208</vt:lpstr>
      <vt:lpstr>20251201</vt:lpstr>
      <vt:lpstr>20251124</vt:lpstr>
      <vt:lpstr>20251117</vt:lpstr>
      <vt:lpstr>20251110</vt:lpstr>
      <vt:lpstr>20251103</vt:lpstr>
      <vt:lpstr>20251027</vt:lpstr>
      <vt:lpstr>20251020</vt:lpstr>
      <vt:lpstr>20251013</vt:lpstr>
      <vt:lpstr>20251006</vt:lpstr>
      <vt:lpstr>20250929</vt:lpstr>
      <vt:lpstr>20250922</vt:lpstr>
      <vt:lpstr>20250915</vt:lpstr>
      <vt:lpstr>20250908</vt:lpstr>
      <vt:lpstr>20250901</vt:lpstr>
      <vt:lpstr>20250825</vt:lpstr>
      <vt:lpstr>20250818</vt:lpstr>
      <vt:lpstr>20250811</vt:lpstr>
      <vt:lpstr>20250804</vt:lpstr>
      <vt:lpstr>20250728</vt:lpstr>
      <vt:lpstr>20250721</vt:lpstr>
      <vt:lpstr>20250714</vt:lpstr>
      <vt:lpstr>20250707</vt:lpstr>
      <vt:lpstr>20250630</vt:lpstr>
      <vt:lpstr>20250623</vt:lpstr>
      <vt:lpstr>20250616</vt:lpstr>
      <vt:lpstr>20250609</vt:lpstr>
      <vt:lpstr>20250602</vt:lpstr>
      <vt:lpstr>20250526</vt:lpstr>
      <vt:lpstr>20250519</vt:lpstr>
      <vt:lpstr>20250512</vt:lpstr>
      <vt:lpstr>20250505</vt:lpstr>
      <vt:lpstr>20250428</vt:lpstr>
      <vt:lpstr>20250421</vt:lpstr>
      <vt:lpstr>20250414</vt:lpstr>
      <vt:lpstr>20250407</vt:lpstr>
      <vt:lpstr>20250331</vt:lpstr>
      <vt:lpstr>20250324</vt:lpstr>
      <vt:lpstr>20250317</vt:lpstr>
      <vt:lpstr>20250310</vt:lpstr>
      <vt:lpstr>20250303</vt:lpstr>
      <vt:lpstr>20250224</vt:lpstr>
      <vt:lpstr>20250217</vt:lpstr>
      <vt:lpstr>20250210</vt:lpstr>
      <vt:lpstr>20250203</vt:lpstr>
      <vt:lpstr>20250127</vt:lpstr>
      <vt:lpstr>20250120</vt:lpstr>
      <vt:lpstr>20250113</vt:lpstr>
      <vt:lpstr>20250106</vt:lpstr>
    </vt:vector>
  </TitlesOfParts>
  <Manager/>
  <Company>USFS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Wong</dc:creator>
  <cp:keywords/>
  <dc:description/>
  <cp:lastModifiedBy>Nathan Stuart</cp:lastModifiedBy>
  <cp:revision/>
  <dcterms:created xsi:type="dcterms:W3CDTF">2022-01-14T21:33:16Z</dcterms:created>
  <dcterms:modified xsi:type="dcterms:W3CDTF">2026-01-30T12:00:53Z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bf2e69-252d-4f6b-92f6-eb2eecdca5c7_Enabled">
    <vt:lpwstr>true</vt:lpwstr>
  </property>
  <property fmtid="{D5CDD505-2E9C-101B-9397-08002B2CF9AE}" pid="3" name="MSIP_Label_33bf2e69-252d-4f6b-92f6-eb2eecdca5c7_SetDate">
    <vt:lpwstr>2023-07-11T16:27:31Z</vt:lpwstr>
  </property>
  <property fmtid="{D5CDD505-2E9C-101B-9397-08002B2CF9AE}" pid="4" name="MSIP_Label_33bf2e69-252d-4f6b-92f6-eb2eecdca5c7_Method">
    <vt:lpwstr>Standard</vt:lpwstr>
  </property>
  <property fmtid="{D5CDD505-2E9C-101B-9397-08002B2CF9AE}" pid="5" name="MSIP_Label_33bf2e69-252d-4f6b-92f6-eb2eecdca5c7_Name">
    <vt:lpwstr>Internal</vt:lpwstr>
  </property>
  <property fmtid="{D5CDD505-2E9C-101B-9397-08002B2CF9AE}" pid="6" name="MSIP_Label_33bf2e69-252d-4f6b-92f6-eb2eecdca5c7_SiteId">
    <vt:lpwstr>13d3189d-22a4-4f96-bbc9-2af46c222581</vt:lpwstr>
  </property>
  <property fmtid="{D5CDD505-2E9C-101B-9397-08002B2CF9AE}" pid="7" name="MSIP_Label_33bf2e69-252d-4f6b-92f6-eb2eecdca5c7_ActionId">
    <vt:lpwstr>5431764e-37b5-4a02-a55d-9353e2920ac4</vt:lpwstr>
  </property>
  <property fmtid="{D5CDD505-2E9C-101B-9397-08002B2CF9AE}" pid="8" name="MSIP_Label_33bf2e69-252d-4f6b-92f6-eb2eecdca5c7_ContentBits">
    <vt:lpwstr>0</vt:lpwstr>
  </property>
</Properties>
</file>