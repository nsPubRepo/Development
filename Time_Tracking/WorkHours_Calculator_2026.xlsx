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Git_Repositories\PubDev\Time_Tracking\"/>
    </mc:Choice>
  </mc:AlternateContent>
  <xr:revisionPtr revIDLastSave="0" documentId="13_ncr:1_{2BE667E5-0EA9-402B-80B9-45257C3178C8}" xr6:coauthVersionLast="47" xr6:coauthVersionMax="47" xr10:uidLastSave="{00000000-0000-0000-0000-000000000000}"/>
  <bookViews>
    <workbookView xWindow="38745" yWindow="360" windowWidth="30435" windowHeight="16605" xr2:uid="{F0FEE646-CA9E-4872-A8E1-626BBC6FFE10}"/>
  </bookViews>
  <sheets>
    <sheet name="20261012" sheetId="41" r:id="rId1"/>
    <sheet name="20261005" sheetId="40" r:id="rId2"/>
    <sheet name="20260928" sheetId="39" state="hidden" r:id="rId3"/>
    <sheet name="20260921" sheetId="38" state="hidden" r:id="rId4"/>
    <sheet name="20260914" sheetId="37" state="hidden" r:id="rId5"/>
    <sheet name="20260907" sheetId="36" state="hidden" r:id="rId6"/>
    <sheet name="20260831" sheetId="35" state="hidden" r:id="rId7"/>
    <sheet name="20260824" sheetId="34" state="hidden" r:id="rId8"/>
    <sheet name="20260817" sheetId="33" state="hidden" r:id="rId9"/>
    <sheet name="20260810" sheetId="32" state="hidden" r:id="rId10"/>
    <sheet name="20260803" sheetId="31" state="hidden" r:id="rId11"/>
    <sheet name="20260727" sheetId="30" state="hidden" r:id="rId12"/>
    <sheet name="20260720" sheetId="29" state="hidden" r:id="rId13"/>
    <sheet name="20260713" sheetId="28" state="hidden" r:id="rId14"/>
    <sheet name="20260706" sheetId="27" state="hidden" r:id="rId15"/>
    <sheet name="20260629" sheetId="26" state="hidden" r:id="rId16"/>
    <sheet name="20260622" sheetId="25" state="hidden" r:id="rId17"/>
    <sheet name="20260615" sheetId="24" state="hidden" r:id="rId18"/>
    <sheet name="20260608" sheetId="23" state="hidden" r:id="rId19"/>
    <sheet name="20260601" sheetId="22" state="hidden" r:id="rId20"/>
    <sheet name="20260525" sheetId="21" state="hidden" r:id="rId21"/>
    <sheet name="20260518" sheetId="20" state="hidden" r:id="rId22"/>
    <sheet name="20260511" sheetId="19" state="hidden" r:id="rId23"/>
    <sheet name="20260504" sheetId="18" state="hidden" r:id="rId24"/>
    <sheet name="20260427" sheetId="17" state="hidden" r:id="rId25"/>
    <sheet name="20260420" sheetId="16" state="hidden" r:id="rId26"/>
    <sheet name="20260413" sheetId="15" state="hidden" r:id="rId27"/>
    <sheet name="20260408" sheetId="14" state="hidden" r:id="rId28"/>
    <sheet name="20260330" sheetId="13" state="hidden" r:id="rId29"/>
    <sheet name="20260323" sheetId="12" state="hidden" r:id="rId30"/>
    <sheet name="20260316" sheetId="11" state="hidden" r:id="rId31"/>
    <sheet name="20260309" sheetId="10" state="hidden" r:id="rId32"/>
    <sheet name="20260302" sheetId="9" state="hidden" r:id="rId33"/>
    <sheet name="20260223" sheetId="8" state="hidden" r:id="rId34"/>
    <sheet name="20260216" sheetId="7" state="hidden" r:id="rId35"/>
    <sheet name="20260209" sheetId="6" state="hidden" r:id="rId36"/>
    <sheet name="20260202" sheetId="5" state="hidden" r:id="rId37"/>
    <sheet name="20260126" sheetId="4" state="hidden" r:id="rId38"/>
    <sheet name="20260119" sheetId="3" state="hidden" r:id="rId39"/>
    <sheet name="20260112" sheetId="2" state="hidden" r:id="rId40"/>
    <sheet name="20260105" sheetId="1" state="hidden" r:id="rId4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41" l="1"/>
  <c r="I6" i="41"/>
  <c r="H6" i="41"/>
  <c r="F6" i="41"/>
  <c r="K5" i="41"/>
  <c r="I5" i="41"/>
  <c r="H5" i="41"/>
  <c r="F5" i="41"/>
  <c r="K4" i="41"/>
  <c r="I4" i="41"/>
  <c r="H4" i="41"/>
  <c r="J4" i="41" s="1"/>
  <c r="L4" i="41" s="1"/>
  <c r="F4" i="41"/>
  <c r="K3" i="41"/>
  <c r="I3" i="41"/>
  <c r="H3" i="41"/>
  <c r="F3" i="41"/>
  <c r="K2" i="41"/>
  <c r="I2" i="41"/>
  <c r="H2" i="41"/>
  <c r="J2" i="41" s="1"/>
  <c r="F2" i="41"/>
  <c r="A1" i="41" a="1"/>
  <c r="A1" i="41" s="1"/>
  <c r="K6" i="40"/>
  <c r="I6" i="40"/>
  <c r="H6" i="40"/>
  <c r="F6" i="40"/>
  <c r="K5" i="40"/>
  <c r="I5" i="40"/>
  <c r="H5" i="40"/>
  <c r="F5" i="40"/>
  <c r="K4" i="40"/>
  <c r="I4" i="40"/>
  <c r="H4" i="40"/>
  <c r="F4" i="40"/>
  <c r="K3" i="40"/>
  <c r="I3" i="40"/>
  <c r="H3" i="40"/>
  <c r="J3" i="40" s="1"/>
  <c r="L3" i="40" s="1"/>
  <c r="F3" i="40"/>
  <c r="K2" i="40"/>
  <c r="I2" i="40"/>
  <c r="H2" i="40"/>
  <c r="J2" i="40" s="1"/>
  <c r="F2" i="40"/>
  <c r="A1" i="40" a="1"/>
  <c r="A1" i="40" s="1"/>
  <c r="F6" i="39"/>
  <c r="K6" i="39"/>
  <c r="I6" i="39"/>
  <c r="H6" i="39"/>
  <c r="J6" i="39" s="1"/>
  <c r="L6" i="39" s="1"/>
  <c r="K5" i="39"/>
  <c r="I5" i="39"/>
  <c r="H5" i="39"/>
  <c r="J5" i="39" s="1"/>
  <c r="L5" i="39" s="1"/>
  <c r="F5" i="39"/>
  <c r="K4" i="39"/>
  <c r="I4" i="39"/>
  <c r="H4" i="39"/>
  <c r="J4" i="39" s="1"/>
  <c r="L4" i="39" s="1"/>
  <c r="F4" i="39"/>
  <c r="K3" i="39"/>
  <c r="I3" i="39"/>
  <c r="H3" i="39"/>
  <c r="F3" i="39"/>
  <c r="K2" i="39"/>
  <c r="I2" i="39"/>
  <c r="H2" i="39"/>
  <c r="J2" i="39" s="1"/>
  <c r="F2" i="39"/>
  <c r="A1" i="39" a="1"/>
  <c r="A1" i="39" s="1"/>
  <c r="K6" i="38"/>
  <c r="I6" i="38"/>
  <c r="H6" i="38"/>
  <c r="F6" i="38"/>
  <c r="K5" i="38"/>
  <c r="I5" i="38"/>
  <c r="H5" i="38"/>
  <c r="F5" i="38"/>
  <c r="K4" i="38"/>
  <c r="I4" i="38"/>
  <c r="H4" i="38"/>
  <c r="F4" i="38"/>
  <c r="K3" i="38"/>
  <c r="I3" i="38"/>
  <c r="H3" i="38"/>
  <c r="J3" i="38" s="1"/>
  <c r="L3" i="38" s="1"/>
  <c r="F3" i="38"/>
  <c r="K2" i="38"/>
  <c r="I2" i="38"/>
  <c r="H2" i="38"/>
  <c r="J2" i="38" s="1"/>
  <c r="F2" i="38"/>
  <c r="A1" i="38" a="1"/>
  <c r="A1" i="38" s="1"/>
  <c r="K6" i="37"/>
  <c r="I6" i="37"/>
  <c r="H6" i="37"/>
  <c r="F6" i="37"/>
  <c r="K5" i="37"/>
  <c r="I5" i="37"/>
  <c r="H5" i="37"/>
  <c r="F5" i="37"/>
  <c r="K4" i="37"/>
  <c r="I4" i="37"/>
  <c r="H4" i="37"/>
  <c r="F4" i="37"/>
  <c r="K3" i="37"/>
  <c r="I3" i="37"/>
  <c r="H3" i="37"/>
  <c r="F3" i="37"/>
  <c r="K2" i="37"/>
  <c r="I2" i="37"/>
  <c r="H2" i="37"/>
  <c r="J2" i="37" s="1"/>
  <c r="L2" i="37" s="1"/>
  <c r="F2" i="37"/>
  <c r="A1" i="37" a="1"/>
  <c r="A1" i="37" s="1"/>
  <c r="F6" i="36"/>
  <c r="K6" i="36"/>
  <c r="I6" i="36"/>
  <c r="H6" i="36"/>
  <c r="K5" i="36"/>
  <c r="I5" i="36"/>
  <c r="H5" i="36"/>
  <c r="J5" i="36" s="1"/>
  <c r="L5" i="36" s="1"/>
  <c r="F5" i="36"/>
  <c r="K4" i="36"/>
  <c r="I4" i="36"/>
  <c r="H4" i="36"/>
  <c r="J4" i="36" s="1"/>
  <c r="L4" i="36" s="1"/>
  <c r="F4" i="36"/>
  <c r="K3" i="36"/>
  <c r="I3" i="36"/>
  <c r="H3" i="36"/>
  <c r="F3" i="36"/>
  <c r="K2" i="36"/>
  <c r="I2" i="36"/>
  <c r="H2" i="36"/>
  <c r="J2" i="36" s="1"/>
  <c r="F2" i="36"/>
  <c r="A1" i="36" a="1"/>
  <c r="A1" i="36" s="1"/>
  <c r="I6" i="35"/>
  <c r="L6" i="35"/>
  <c r="K6" i="35"/>
  <c r="H6" i="35"/>
  <c r="J6" i="35" s="1"/>
  <c r="F6" i="35"/>
  <c r="K5" i="35"/>
  <c r="I5" i="35"/>
  <c r="H5" i="35"/>
  <c r="J5" i="35" s="1"/>
  <c r="L5" i="35" s="1"/>
  <c r="F5" i="35"/>
  <c r="K4" i="35"/>
  <c r="I4" i="35"/>
  <c r="H4" i="35"/>
  <c r="F4" i="35"/>
  <c r="K3" i="35"/>
  <c r="I3" i="35"/>
  <c r="H3" i="35"/>
  <c r="F3" i="35"/>
  <c r="K2" i="35"/>
  <c r="I2" i="35"/>
  <c r="H2" i="35"/>
  <c r="F2" i="35"/>
  <c r="A1" i="35" a="1"/>
  <c r="A1" i="35" s="1"/>
  <c r="F4" i="34"/>
  <c r="K6" i="34"/>
  <c r="I6" i="34"/>
  <c r="H6" i="34"/>
  <c r="F6" i="34"/>
  <c r="K5" i="34"/>
  <c r="I5" i="34"/>
  <c r="H5" i="34"/>
  <c r="F5" i="34"/>
  <c r="K4" i="34"/>
  <c r="I4" i="34"/>
  <c r="H4" i="34"/>
  <c r="K3" i="34"/>
  <c r="I3" i="34"/>
  <c r="H3" i="34"/>
  <c r="F3" i="34"/>
  <c r="K2" i="34"/>
  <c r="I2" i="34"/>
  <c r="J2" i="34" s="1"/>
  <c r="H2" i="34"/>
  <c r="F2" i="34"/>
  <c r="A1" i="34" a="1"/>
  <c r="A1" i="34" s="1"/>
  <c r="K6" i="33"/>
  <c r="I6" i="33"/>
  <c r="H6" i="33"/>
  <c r="F6" i="33"/>
  <c r="K5" i="33"/>
  <c r="I5" i="33"/>
  <c r="H5" i="33"/>
  <c r="F5" i="33"/>
  <c r="L4" i="33"/>
  <c r="K4" i="33"/>
  <c r="I4" i="33"/>
  <c r="H4" i="33"/>
  <c r="K3" i="33"/>
  <c r="I3" i="33"/>
  <c r="H3" i="33"/>
  <c r="F3" i="33"/>
  <c r="K2" i="33"/>
  <c r="I2" i="33"/>
  <c r="H2" i="33"/>
  <c r="J2" i="33" s="1"/>
  <c r="L2" i="33" s="1"/>
  <c r="F2" i="33"/>
  <c r="A1" i="33" a="1"/>
  <c r="A1" i="33" s="1"/>
  <c r="I5" i="30"/>
  <c r="L6" i="32"/>
  <c r="K6" i="32"/>
  <c r="J6" i="32"/>
  <c r="I6" i="32"/>
  <c r="H6" i="32"/>
  <c r="F6" i="32"/>
  <c r="L5" i="32"/>
  <c r="K5" i="32"/>
  <c r="I5" i="32"/>
  <c r="H5" i="32"/>
  <c r="J5" i="32" s="1"/>
  <c r="F5" i="32"/>
  <c r="L4" i="32"/>
  <c r="K4" i="32"/>
  <c r="I4" i="32"/>
  <c r="H4" i="32"/>
  <c r="F4" i="32"/>
  <c r="L3" i="32"/>
  <c r="K3" i="32"/>
  <c r="I3" i="32"/>
  <c r="H3" i="32"/>
  <c r="J3" i="32" s="1"/>
  <c r="F3" i="32"/>
  <c r="L2" i="32"/>
  <c r="K2" i="32"/>
  <c r="K7" i="32" s="1"/>
  <c r="J2" i="32"/>
  <c r="I2" i="32"/>
  <c r="H2" i="32"/>
  <c r="F2" i="32"/>
  <c r="A1" i="32" a="1"/>
  <c r="A1" i="32" s="1"/>
  <c r="L6" i="31"/>
  <c r="K6" i="31"/>
  <c r="I6" i="31"/>
  <c r="H6" i="31"/>
  <c r="F6" i="31"/>
  <c r="L5" i="31"/>
  <c r="K5" i="31"/>
  <c r="I5" i="31"/>
  <c r="H5" i="31"/>
  <c r="F5" i="31"/>
  <c r="K4" i="31"/>
  <c r="I4" i="31"/>
  <c r="H4" i="31"/>
  <c r="F4" i="31"/>
  <c r="K3" i="31"/>
  <c r="I3" i="31"/>
  <c r="H3" i="31"/>
  <c r="F3" i="31"/>
  <c r="K2" i="31"/>
  <c r="K7" i="31" s="1"/>
  <c r="I2" i="31"/>
  <c r="H2" i="31"/>
  <c r="F2" i="31"/>
  <c r="A1" i="31" a="1"/>
  <c r="A1" i="31" s="1"/>
  <c r="A4" i="31" s="1"/>
  <c r="L6" i="30"/>
  <c r="K6" i="30"/>
  <c r="I6" i="30"/>
  <c r="H6" i="30"/>
  <c r="F6" i="30"/>
  <c r="L5" i="30"/>
  <c r="K5" i="30"/>
  <c r="H5" i="30"/>
  <c r="F5" i="30"/>
  <c r="K4" i="30"/>
  <c r="I4" i="30"/>
  <c r="H4" i="30"/>
  <c r="F4" i="30"/>
  <c r="K3" i="30"/>
  <c r="I3" i="30"/>
  <c r="H3" i="30"/>
  <c r="F3" i="30"/>
  <c r="K2" i="30"/>
  <c r="I2" i="30"/>
  <c r="H2" i="30"/>
  <c r="F2" i="30"/>
  <c r="A1" i="30" a="1"/>
  <c r="A1" i="30" s="1"/>
  <c r="L6" i="29"/>
  <c r="K6" i="29"/>
  <c r="I6" i="29"/>
  <c r="H6" i="29"/>
  <c r="J6" i="29" s="1"/>
  <c r="F6" i="29"/>
  <c r="K5" i="29"/>
  <c r="I5" i="29"/>
  <c r="H5" i="29"/>
  <c r="J5" i="29" s="1"/>
  <c r="L5" i="29" s="1"/>
  <c r="F5" i="29"/>
  <c r="K4" i="29"/>
  <c r="I4" i="29"/>
  <c r="H4" i="29"/>
  <c r="F4" i="29"/>
  <c r="K3" i="29"/>
  <c r="I3" i="29"/>
  <c r="H3" i="29"/>
  <c r="F3" i="29"/>
  <c r="K2" i="29"/>
  <c r="I2" i="29"/>
  <c r="H2" i="29"/>
  <c r="J2" i="29" s="1"/>
  <c r="F2" i="29"/>
  <c r="A1" i="29" a="1"/>
  <c r="A1" i="29" s="1"/>
  <c r="K6" i="28"/>
  <c r="I6" i="28"/>
  <c r="H6" i="28"/>
  <c r="F6" i="28"/>
  <c r="K5" i="28"/>
  <c r="I5" i="28"/>
  <c r="H5" i="28"/>
  <c r="F5" i="28"/>
  <c r="K4" i="28"/>
  <c r="I4" i="28"/>
  <c r="H4" i="28"/>
  <c r="J4" i="28" s="1"/>
  <c r="L4" i="28" s="1"/>
  <c r="F4" i="28"/>
  <c r="K3" i="28"/>
  <c r="I3" i="28"/>
  <c r="H3" i="28"/>
  <c r="F3" i="28"/>
  <c r="K2" i="28"/>
  <c r="I2" i="28"/>
  <c r="H2" i="28"/>
  <c r="F2" i="28"/>
  <c r="A1" i="28" a="1"/>
  <c r="A1" i="28" s="1"/>
  <c r="K6" i="27"/>
  <c r="I6" i="27"/>
  <c r="H6" i="27"/>
  <c r="F6" i="27"/>
  <c r="K5" i="27"/>
  <c r="I5" i="27"/>
  <c r="H5" i="27"/>
  <c r="F5" i="27"/>
  <c r="K4" i="27"/>
  <c r="I4" i="27"/>
  <c r="H4" i="27"/>
  <c r="F4" i="27"/>
  <c r="K3" i="27"/>
  <c r="I3" i="27"/>
  <c r="H3" i="27"/>
  <c r="F3" i="27"/>
  <c r="K2" i="27"/>
  <c r="I2" i="27"/>
  <c r="H2" i="27"/>
  <c r="F2" i="27"/>
  <c r="A1" i="27" a="1"/>
  <c r="A1" i="27" s="1"/>
  <c r="K2" i="24"/>
  <c r="K3" i="24"/>
  <c r="K4" i="24"/>
  <c r="K5" i="24"/>
  <c r="K6" i="24"/>
  <c r="L7" i="22"/>
  <c r="L7" i="23"/>
  <c r="L7" i="24"/>
  <c r="L7" i="25"/>
  <c r="L6" i="26"/>
  <c r="K6" i="26"/>
  <c r="I6" i="26"/>
  <c r="H6" i="26"/>
  <c r="J6" i="26" s="1"/>
  <c r="F6" i="26"/>
  <c r="K5" i="26"/>
  <c r="I5" i="26"/>
  <c r="H5" i="26"/>
  <c r="F5" i="26"/>
  <c r="K4" i="26"/>
  <c r="I4" i="26"/>
  <c r="H4" i="26"/>
  <c r="F4" i="26"/>
  <c r="K3" i="26"/>
  <c r="I3" i="26"/>
  <c r="H3" i="26"/>
  <c r="J3" i="26" s="1"/>
  <c r="L3" i="26" s="1"/>
  <c r="F3" i="26"/>
  <c r="K2" i="26"/>
  <c r="I2" i="26"/>
  <c r="H2" i="26"/>
  <c r="F2" i="26"/>
  <c r="A1" i="26" a="1"/>
  <c r="A1" i="26" s="1"/>
  <c r="A4" i="26" s="1"/>
  <c r="K6" i="25"/>
  <c r="I6" i="25"/>
  <c r="H6" i="25"/>
  <c r="F6" i="25"/>
  <c r="K5" i="25"/>
  <c r="I5" i="25"/>
  <c r="H5" i="25"/>
  <c r="J5" i="25" s="1"/>
  <c r="L5" i="25" s="1"/>
  <c r="F5" i="25"/>
  <c r="K4" i="25"/>
  <c r="I4" i="25"/>
  <c r="H4" i="25"/>
  <c r="F4" i="25"/>
  <c r="K3" i="25"/>
  <c r="I3" i="25"/>
  <c r="H3" i="25"/>
  <c r="J3" i="25" s="1"/>
  <c r="L3" i="25" s="1"/>
  <c r="F3" i="25"/>
  <c r="K2" i="25"/>
  <c r="I2" i="25"/>
  <c r="H2" i="25"/>
  <c r="F2" i="25"/>
  <c r="A1" i="25" a="1"/>
  <c r="A1" i="25" s="1"/>
  <c r="I6" i="24"/>
  <c r="H6" i="24"/>
  <c r="F6" i="24"/>
  <c r="I5" i="24"/>
  <c r="H5" i="24"/>
  <c r="F5" i="24"/>
  <c r="I4" i="24"/>
  <c r="H4" i="24"/>
  <c r="F4" i="24"/>
  <c r="I3" i="24"/>
  <c r="H3" i="24"/>
  <c r="J3" i="24" s="1"/>
  <c r="L3" i="24" s="1"/>
  <c r="F3" i="24"/>
  <c r="I2" i="24"/>
  <c r="H2" i="24"/>
  <c r="J2" i="24" s="1"/>
  <c r="F2" i="24"/>
  <c r="A1" i="24" a="1"/>
  <c r="A1" i="24" s="1"/>
  <c r="K6" i="23"/>
  <c r="I6" i="23"/>
  <c r="H6" i="23"/>
  <c r="F6" i="23"/>
  <c r="K5" i="23"/>
  <c r="I5" i="23"/>
  <c r="H5" i="23"/>
  <c r="F5" i="23"/>
  <c r="K4" i="23"/>
  <c r="I4" i="23"/>
  <c r="H4" i="23"/>
  <c r="F4" i="23"/>
  <c r="K3" i="23"/>
  <c r="I3" i="23"/>
  <c r="H3" i="23"/>
  <c r="F3" i="23"/>
  <c r="K2" i="23"/>
  <c r="I2" i="23"/>
  <c r="H2" i="23"/>
  <c r="F2" i="23"/>
  <c r="A1" i="23" a="1"/>
  <c r="A1" i="23" s="1"/>
  <c r="K6" i="22"/>
  <c r="I6" i="22"/>
  <c r="H6" i="22"/>
  <c r="J6" i="22" s="1"/>
  <c r="L6" i="22" s="1"/>
  <c r="F6" i="22"/>
  <c r="K5" i="22"/>
  <c r="I5" i="22"/>
  <c r="H5" i="22"/>
  <c r="J5" i="22" s="1"/>
  <c r="L5" i="22" s="1"/>
  <c r="F5" i="22"/>
  <c r="K4" i="22"/>
  <c r="I4" i="22"/>
  <c r="H4" i="22"/>
  <c r="J4" i="22" s="1"/>
  <c r="L4" i="22" s="1"/>
  <c r="F4" i="22"/>
  <c r="K3" i="22"/>
  <c r="I3" i="22"/>
  <c r="H3" i="22"/>
  <c r="F3" i="22"/>
  <c r="K2" i="22"/>
  <c r="I2" i="22"/>
  <c r="H2" i="22"/>
  <c r="F2" i="22"/>
  <c r="A1" i="22" a="1"/>
  <c r="A1" i="22" s="1"/>
  <c r="K6" i="21"/>
  <c r="I6" i="21"/>
  <c r="H6" i="21"/>
  <c r="J6" i="21" s="1"/>
  <c r="L6" i="21" s="1"/>
  <c r="F6" i="21"/>
  <c r="K5" i="21"/>
  <c r="I5" i="21"/>
  <c r="H5" i="21"/>
  <c r="J5" i="21" s="1"/>
  <c r="L5" i="21" s="1"/>
  <c r="F5" i="21"/>
  <c r="K4" i="21"/>
  <c r="I4" i="21"/>
  <c r="H4" i="21"/>
  <c r="J4" i="21" s="1"/>
  <c r="L4" i="21" s="1"/>
  <c r="F4" i="21"/>
  <c r="K3" i="21"/>
  <c r="I3" i="21"/>
  <c r="H3" i="21"/>
  <c r="F3" i="21"/>
  <c r="K2" i="21"/>
  <c r="I2" i="21"/>
  <c r="H2" i="21"/>
  <c r="F2" i="21"/>
  <c r="A1" i="21" a="1"/>
  <c r="A1" i="21" s="1"/>
  <c r="K6" i="20"/>
  <c r="I6" i="20"/>
  <c r="H6" i="20"/>
  <c r="J6" i="20" s="1"/>
  <c r="L6" i="20" s="1"/>
  <c r="F6" i="20"/>
  <c r="K5" i="20"/>
  <c r="I5" i="20"/>
  <c r="H5" i="20"/>
  <c r="F5" i="20"/>
  <c r="K4" i="20"/>
  <c r="I4" i="20"/>
  <c r="H4" i="20"/>
  <c r="F4" i="20"/>
  <c r="K3" i="20"/>
  <c r="I3" i="20"/>
  <c r="H3" i="20"/>
  <c r="J3" i="20" s="1"/>
  <c r="L3" i="20" s="1"/>
  <c r="F3" i="20"/>
  <c r="K2" i="20"/>
  <c r="I2" i="20"/>
  <c r="H2" i="20"/>
  <c r="F2" i="20"/>
  <c r="A1" i="20" a="1"/>
  <c r="A1" i="20" s="1"/>
  <c r="K6" i="19"/>
  <c r="I6" i="19"/>
  <c r="H6" i="19"/>
  <c r="J6" i="19" s="1"/>
  <c r="L6" i="19" s="1"/>
  <c r="F6" i="19"/>
  <c r="K5" i="19"/>
  <c r="I5" i="19"/>
  <c r="H5" i="19"/>
  <c r="F5" i="19"/>
  <c r="K4" i="19"/>
  <c r="I4" i="19"/>
  <c r="H4" i="19"/>
  <c r="F4" i="19"/>
  <c r="K3" i="19"/>
  <c r="I3" i="19"/>
  <c r="H3" i="19"/>
  <c r="F3" i="19"/>
  <c r="K2" i="19"/>
  <c r="I2" i="19"/>
  <c r="H2" i="19"/>
  <c r="J2" i="19" s="1"/>
  <c r="F2" i="19"/>
  <c r="A1" i="19" a="1"/>
  <c r="A1" i="19" s="1"/>
  <c r="K6" i="18"/>
  <c r="I6" i="18"/>
  <c r="H6" i="18"/>
  <c r="F6" i="18"/>
  <c r="K5" i="18"/>
  <c r="I5" i="18"/>
  <c r="H5" i="18"/>
  <c r="J5" i="18" s="1"/>
  <c r="L5" i="18" s="1"/>
  <c r="F5" i="18"/>
  <c r="K4" i="18"/>
  <c r="I4" i="18"/>
  <c r="H4" i="18"/>
  <c r="F4" i="18"/>
  <c r="K3" i="18"/>
  <c r="I3" i="18"/>
  <c r="H3" i="18"/>
  <c r="F3" i="18"/>
  <c r="K2" i="18"/>
  <c r="I2" i="18"/>
  <c r="H2" i="18"/>
  <c r="F2" i="18"/>
  <c r="A1" i="18" a="1"/>
  <c r="A1" i="18" s="1"/>
  <c r="K6" i="17"/>
  <c r="I6" i="17"/>
  <c r="H6" i="17"/>
  <c r="F6" i="17"/>
  <c r="K5" i="17"/>
  <c r="I5" i="17"/>
  <c r="H5" i="17"/>
  <c r="F5" i="17"/>
  <c r="K4" i="17"/>
  <c r="I4" i="17"/>
  <c r="H4" i="17"/>
  <c r="F4" i="17"/>
  <c r="K3" i="17"/>
  <c r="I3" i="17"/>
  <c r="H3" i="17"/>
  <c r="F3" i="17"/>
  <c r="K2" i="17"/>
  <c r="I2" i="17"/>
  <c r="H2" i="17"/>
  <c r="F2" i="17"/>
  <c r="A1" i="17" a="1"/>
  <c r="A1" i="17" s="1"/>
  <c r="K6" i="16"/>
  <c r="I6" i="16"/>
  <c r="H6" i="16"/>
  <c r="F6" i="16"/>
  <c r="L5" i="16"/>
  <c r="K5" i="16"/>
  <c r="I5" i="16"/>
  <c r="H5" i="16"/>
  <c r="J5" i="16" s="1"/>
  <c r="F5" i="16"/>
  <c r="K4" i="16"/>
  <c r="I4" i="16"/>
  <c r="H4" i="16"/>
  <c r="F4" i="16"/>
  <c r="K3" i="16"/>
  <c r="I3" i="16"/>
  <c r="H3" i="16"/>
  <c r="J3" i="16" s="1"/>
  <c r="L3" i="16" s="1"/>
  <c r="F3" i="16"/>
  <c r="K2" i="16"/>
  <c r="I2" i="16"/>
  <c r="H2" i="16"/>
  <c r="F2" i="16"/>
  <c r="A1" i="16" a="1"/>
  <c r="A1" i="16" s="1"/>
  <c r="K6" i="15"/>
  <c r="I6" i="15"/>
  <c r="H6" i="15"/>
  <c r="J6" i="15" s="1"/>
  <c r="L6" i="15" s="1"/>
  <c r="F6" i="15"/>
  <c r="K5" i="15"/>
  <c r="I5" i="15"/>
  <c r="H5" i="15"/>
  <c r="J5" i="15" s="1"/>
  <c r="L5" i="15" s="1"/>
  <c r="F5" i="15"/>
  <c r="K4" i="15"/>
  <c r="I4" i="15"/>
  <c r="H4" i="15"/>
  <c r="F4" i="15"/>
  <c r="K3" i="15"/>
  <c r="I3" i="15"/>
  <c r="H3" i="15"/>
  <c r="F3" i="15"/>
  <c r="K2" i="15"/>
  <c r="I2" i="15"/>
  <c r="H2" i="15"/>
  <c r="F2" i="15"/>
  <c r="A1" i="15" a="1"/>
  <c r="A1" i="15" s="1"/>
  <c r="K6" i="14"/>
  <c r="I6" i="14"/>
  <c r="H6" i="14"/>
  <c r="F6" i="14"/>
  <c r="K5" i="14"/>
  <c r="I5" i="14"/>
  <c r="H5" i="14"/>
  <c r="J5" i="14" s="1"/>
  <c r="L5" i="14" s="1"/>
  <c r="F5" i="14"/>
  <c r="K4" i="14"/>
  <c r="I4" i="14"/>
  <c r="H4" i="14"/>
  <c r="F4" i="14"/>
  <c r="K3" i="14"/>
  <c r="I3" i="14"/>
  <c r="H3" i="14"/>
  <c r="F3" i="14"/>
  <c r="K2" i="14"/>
  <c r="I2" i="14"/>
  <c r="H2" i="14"/>
  <c r="F2" i="14"/>
  <c r="A1" i="14" a="1"/>
  <c r="A1" i="14" s="1"/>
  <c r="K7" i="12"/>
  <c r="K6" i="13"/>
  <c r="I6" i="13"/>
  <c r="H6" i="13"/>
  <c r="F6" i="13"/>
  <c r="K5" i="13"/>
  <c r="I5" i="13"/>
  <c r="H5" i="13"/>
  <c r="F5" i="13"/>
  <c r="K4" i="13"/>
  <c r="I4" i="13"/>
  <c r="H4" i="13"/>
  <c r="F4" i="13"/>
  <c r="K3" i="13"/>
  <c r="I3" i="13"/>
  <c r="H3" i="13"/>
  <c r="F3" i="13"/>
  <c r="K2" i="13"/>
  <c r="I2" i="13"/>
  <c r="H2" i="13"/>
  <c r="F2" i="13"/>
  <c r="A1" i="13" a="1"/>
  <c r="A1" i="13" s="1"/>
  <c r="K6" i="12"/>
  <c r="K7" i="10"/>
  <c r="K7" i="9"/>
  <c r="K7" i="11"/>
  <c r="I6" i="12"/>
  <c r="H6" i="12"/>
  <c r="J6" i="12" s="1"/>
  <c r="L6" i="12" s="1"/>
  <c r="F6" i="12"/>
  <c r="K5" i="12"/>
  <c r="I5" i="12"/>
  <c r="H5" i="12"/>
  <c r="J5" i="12" s="1"/>
  <c r="L5" i="12" s="1"/>
  <c r="F5" i="12"/>
  <c r="K4" i="12"/>
  <c r="I4" i="12"/>
  <c r="H4" i="12"/>
  <c r="F4" i="12"/>
  <c r="K3" i="12"/>
  <c r="I3" i="12"/>
  <c r="H3" i="12"/>
  <c r="J3" i="12" s="1"/>
  <c r="L3" i="12" s="1"/>
  <c r="F3" i="12"/>
  <c r="K2" i="12"/>
  <c r="I2" i="12"/>
  <c r="H2" i="12"/>
  <c r="F2" i="12"/>
  <c r="A1" i="12" a="1"/>
  <c r="A1" i="12" s="1"/>
  <c r="K6" i="11"/>
  <c r="I6" i="11"/>
  <c r="H6" i="11"/>
  <c r="J6" i="11" s="1"/>
  <c r="L6" i="11" s="1"/>
  <c r="F6" i="11"/>
  <c r="K5" i="11"/>
  <c r="I5" i="11"/>
  <c r="H5" i="11"/>
  <c r="J5" i="11" s="1"/>
  <c r="L5" i="11" s="1"/>
  <c r="F5" i="11"/>
  <c r="K4" i="11"/>
  <c r="I4" i="11"/>
  <c r="H4" i="11"/>
  <c r="F4" i="11"/>
  <c r="K3" i="11"/>
  <c r="I3" i="11"/>
  <c r="H3" i="11"/>
  <c r="F3" i="11"/>
  <c r="K2" i="11"/>
  <c r="I2" i="11"/>
  <c r="H2" i="11"/>
  <c r="J2" i="11" s="1"/>
  <c r="F2" i="11"/>
  <c r="A1" i="11" a="1"/>
  <c r="A1" i="11" s="1"/>
  <c r="K6" i="10"/>
  <c r="I6" i="10"/>
  <c r="H6" i="10"/>
  <c r="F6" i="10"/>
  <c r="K5" i="10"/>
  <c r="I5" i="10"/>
  <c r="H5" i="10"/>
  <c r="F5" i="10"/>
  <c r="K4" i="10"/>
  <c r="I4" i="10"/>
  <c r="H4" i="10"/>
  <c r="F4" i="10"/>
  <c r="K3" i="10"/>
  <c r="I3" i="10"/>
  <c r="H3" i="10"/>
  <c r="F3" i="10"/>
  <c r="K2" i="10"/>
  <c r="I2" i="10"/>
  <c r="H2" i="10"/>
  <c r="F2" i="10"/>
  <c r="A1" i="10" a="1"/>
  <c r="A1" i="10" s="1"/>
  <c r="F3" i="9"/>
  <c r="F4" i="9"/>
  <c r="F5" i="9"/>
  <c r="F6" i="9"/>
  <c r="F2" i="9"/>
  <c r="J6" i="41" l="1"/>
  <c r="L6" i="41" s="1"/>
  <c r="J3" i="41"/>
  <c r="L3" i="41" s="1"/>
  <c r="J5" i="41"/>
  <c r="L5" i="41" s="1"/>
  <c r="K7" i="41"/>
  <c r="A3" i="41"/>
  <c r="A4" i="41"/>
  <c r="A2" i="41"/>
  <c r="A6" i="41"/>
  <c r="A5" i="41"/>
  <c r="L2" i="41"/>
  <c r="L7" i="41" s="1"/>
  <c r="J6" i="40"/>
  <c r="L6" i="40" s="1"/>
  <c r="J5" i="40"/>
  <c r="L5" i="40" s="1"/>
  <c r="K7" i="40"/>
  <c r="J4" i="40"/>
  <c r="L4" i="40" s="1"/>
  <c r="A4" i="40"/>
  <c r="A2" i="40"/>
  <c r="A6" i="40"/>
  <c r="L2" i="40"/>
  <c r="A3" i="40"/>
  <c r="A5" i="40"/>
  <c r="J3" i="39"/>
  <c r="L3" i="39" s="1"/>
  <c r="K7" i="39"/>
  <c r="A5" i="39"/>
  <c r="A4" i="39"/>
  <c r="A2" i="39"/>
  <c r="A3" i="39"/>
  <c r="A6" i="39"/>
  <c r="J7" i="39"/>
  <c r="L2" i="39"/>
  <c r="L7" i="39" s="1"/>
  <c r="J6" i="38"/>
  <c r="L6" i="38" s="1"/>
  <c r="J4" i="38"/>
  <c r="L4" i="38" s="1"/>
  <c r="J5" i="38"/>
  <c r="L5" i="38" s="1"/>
  <c r="K7" i="38"/>
  <c r="A4" i="38"/>
  <c r="A5" i="38"/>
  <c r="A2" i="38"/>
  <c r="A3" i="38"/>
  <c r="A6" i="38"/>
  <c r="L2" i="38"/>
  <c r="J6" i="37"/>
  <c r="L6" i="37" s="1"/>
  <c r="J5" i="37"/>
  <c r="L5" i="37" s="1"/>
  <c r="J4" i="37"/>
  <c r="L4" i="37" s="1"/>
  <c r="J3" i="37"/>
  <c r="L3" i="37" s="1"/>
  <c r="K7" i="37"/>
  <c r="A4" i="37"/>
  <c r="A2" i="37"/>
  <c r="A3" i="37"/>
  <c r="A5" i="37"/>
  <c r="A6" i="37"/>
  <c r="J3" i="36"/>
  <c r="L3" i="36" s="1"/>
  <c r="J6" i="36"/>
  <c r="L6" i="36" s="1"/>
  <c r="K7" i="36"/>
  <c r="A4" i="36"/>
  <c r="A6" i="36"/>
  <c r="A2" i="36"/>
  <c r="A5" i="36"/>
  <c r="A3" i="36"/>
  <c r="L2" i="36"/>
  <c r="L7" i="36" s="1"/>
  <c r="J4" i="35"/>
  <c r="L4" i="35" s="1"/>
  <c r="J3" i="35"/>
  <c r="L3" i="35" s="1"/>
  <c r="J2" i="35"/>
  <c r="L2" i="35" s="1"/>
  <c r="J6" i="34"/>
  <c r="L6" i="34" s="1"/>
  <c r="K7" i="35"/>
  <c r="A3" i="35"/>
  <c r="A4" i="35"/>
  <c r="A2" i="35"/>
  <c r="A5" i="35"/>
  <c r="A6" i="35"/>
  <c r="L7" i="35"/>
  <c r="J7" i="35"/>
  <c r="J3" i="34"/>
  <c r="L3" i="34" s="1"/>
  <c r="K7" i="34"/>
  <c r="J4" i="34"/>
  <c r="L4" i="34" s="1"/>
  <c r="J5" i="34"/>
  <c r="L5" i="34" s="1"/>
  <c r="A4" i="34"/>
  <c r="A2" i="34"/>
  <c r="A5" i="34"/>
  <c r="A3" i="34"/>
  <c r="A6" i="34"/>
  <c r="L2" i="34"/>
  <c r="J6" i="33"/>
  <c r="L6" i="33" s="1"/>
  <c r="J4" i="33"/>
  <c r="J5" i="33"/>
  <c r="L5" i="33" s="1"/>
  <c r="K7" i="33"/>
  <c r="J3" i="33"/>
  <c r="L3" i="33" s="1"/>
  <c r="A3" i="33"/>
  <c r="A4" i="33"/>
  <c r="A2" i="33"/>
  <c r="A5" i="33"/>
  <c r="A6" i="33"/>
  <c r="J3" i="31"/>
  <c r="L3" i="31" s="1"/>
  <c r="J4" i="32"/>
  <c r="J7" i="32" s="1"/>
  <c r="J10" i="32" s="1"/>
  <c r="L7" i="32"/>
  <c r="A4" i="32"/>
  <c r="A2" i="32"/>
  <c r="A6" i="32"/>
  <c r="A5" i="32"/>
  <c r="A3" i="32"/>
  <c r="J5" i="31"/>
  <c r="J6" i="31"/>
  <c r="J2" i="31"/>
  <c r="L2" i="31" s="1"/>
  <c r="J4" i="31"/>
  <c r="L4" i="31" s="1"/>
  <c r="A6" i="31"/>
  <c r="A3" i="31"/>
  <c r="A5" i="31"/>
  <c r="A2" i="31"/>
  <c r="J5" i="30"/>
  <c r="J6" i="30"/>
  <c r="J3" i="30"/>
  <c r="L3" i="30" s="1"/>
  <c r="J2" i="30"/>
  <c r="L2" i="30" s="1"/>
  <c r="K7" i="30"/>
  <c r="J4" i="30"/>
  <c r="L4" i="30" s="1"/>
  <c r="A4" i="30"/>
  <c r="A5" i="30"/>
  <c r="A3" i="30"/>
  <c r="A2" i="30"/>
  <c r="A6" i="30"/>
  <c r="J3" i="29"/>
  <c r="L3" i="29" s="1"/>
  <c r="K7" i="29"/>
  <c r="J4" i="29"/>
  <c r="L4" i="29" s="1"/>
  <c r="A4" i="29"/>
  <c r="A2" i="29"/>
  <c r="A5" i="29"/>
  <c r="A3" i="29"/>
  <c r="A6" i="29"/>
  <c r="J7" i="29"/>
  <c r="L2" i="29"/>
  <c r="J6" i="28"/>
  <c r="L6" i="28" s="1"/>
  <c r="J5" i="28"/>
  <c r="L5" i="28" s="1"/>
  <c r="J3" i="28"/>
  <c r="L3" i="28" s="1"/>
  <c r="J2" i="28"/>
  <c r="K7" i="28"/>
  <c r="A4" i="28"/>
  <c r="A6" i="28"/>
  <c r="A2" i="28"/>
  <c r="A5" i="28"/>
  <c r="A3" i="28"/>
  <c r="L2" i="28"/>
  <c r="J6" i="27"/>
  <c r="L6" i="27" s="1"/>
  <c r="K7" i="27"/>
  <c r="J2" i="27"/>
  <c r="J5" i="27"/>
  <c r="L5" i="27" s="1"/>
  <c r="J3" i="27"/>
  <c r="L3" i="27" s="1"/>
  <c r="J4" i="27"/>
  <c r="L4" i="27" s="1"/>
  <c r="A4" i="27"/>
  <c r="A2" i="27"/>
  <c r="A5" i="27"/>
  <c r="A3" i="27"/>
  <c r="A6" i="27"/>
  <c r="J7" i="27"/>
  <c r="L2" i="27"/>
  <c r="L7" i="27" s="1"/>
  <c r="J5" i="26"/>
  <c r="L5" i="26" s="1"/>
  <c r="L7" i="26" s="1"/>
  <c r="J4" i="26"/>
  <c r="L4" i="26" s="1"/>
  <c r="J2" i="26"/>
  <c r="K7" i="26"/>
  <c r="A6" i="26"/>
  <c r="A3" i="26"/>
  <c r="A5" i="26"/>
  <c r="A2" i="26"/>
  <c r="J4" i="25"/>
  <c r="L4" i="25" s="1"/>
  <c r="J2" i="25"/>
  <c r="K7" i="25"/>
  <c r="J6" i="25"/>
  <c r="L6" i="25" s="1"/>
  <c r="A4" i="25"/>
  <c r="A2" i="25"/>
  <c r="A5" i="25"/>
  <c r="A6" i="25"/>
  <c r="A3" i="25"/>
  <c r="L2" i="25"/>
  <c r="J6" i="24"/>
  <c r="L6" i="24" s="1"/>
  <c r="J4" i="24"/>
  <c r="L4" i="24" s="1"/>
  <c r="J5" i="24"/>
  <c r="L5" i="24" s="1"/>
  <c r="K7" i="24"/>
  <c r="A4" i="24"/>
  <c r="A2" i="24"/>
  <c r="A5" i="24"/>
  <c r="A3" i="24"/>
  <c r="A6" i="24"/>
  <c r="J7" i="24"/>
  <c r="L2" i="24"/>
  <c r="J6" i="23"/>
  <c r="L6" i="23" s="1"/>
  <c r="J5" i="23"/>
  <c r="L5" i="23" s="1"/>
  <c r="J4" i="23"/>
  <c r="L4" i="23" s="1"/>
  <c r="J3" i="23"/>
  <c r="L3" i="23" s="1"/>
  <c r="J2" i="23"/>
  <c r="K7" i="23"/>
  <c r="A4" i="23"/>
  <c r="A2" i="23"/>
  <c r="A5" i="23"/>
  <c r="A6" i="23"/>
  <c r="A3" i="23"/>
  <c r="J7" i="23"/>
  <c r="L2" i="23"/>
  <c r="J3" i="22"/>
  <c r="L3" i="22" s="1"/>
  <c r="J2" i="22"/>
  <c r="K7" i="22"/>
  <c r="A4" i="22"/>
  <c r="A3" i="22"/>
  <c r="A6" i="22"/>
  <c r="A2" i="22"/>
  <c r="A5" i="22"/>
  <c r="J2" i="21"/>
  <c r="K7" i="21"/>
  <c r="J3" i="21"/>
  <c r="L3" i="21" s="1"/>
  <c r="L2" i="21"/>
  <c r="J7" i="21"/>
  <c r="A4" i="21"/>
  <c r="A2" i="21"/>
  <c r="A6" i="21"/>
  <c r="A5" i="21"/>
  <c r="A3" i="21"/>
  <c r="J5" i="20"/>
  <c r="L5" i="20" s="1"/>
  <c r="J2" i="20"/>
  <c r="K7" i="20"/>
  <c r="J4" i="20"/>
  <c r="L4" i="20" s="1"/>
  <c r="L2" i="20"/>
  <c r="J7" i="20"/>
  <c r="A4" i="20"/>
  <c r="A6" i="20"/>
  <c r="A2" i="20"/>
  <c r="A3" i="20"/>
  <c r="A5" i="20"/>
  <c r="J5" i="19"/>
  <c r="L5" i="19" s="1"/>
  <c r="J4" i="19"/>
  <c r="L4" i="19" s="1"/>
  <c r="J3" i="19"/>
  <c r="L3" i="19" s="1"/>
  <c r="K7" i="19"/>
  <c r="J7" i="19"/>
  <c r="L2" i="19"/>
  <c r="A2" i="19"/>
  <c r="A5" i="19"/>
  <c r="A3" i="19"/>
  <c r="A6" i="19"/>
  <c r="A4" i="19"/>
  <c r="J4" i="18"/>
  <c r="L4" i="18" s="1"/>
  <c r="J2" i="18"/>
  <c r="K7" i="18"/>
  <c r="J3" i="18"/>
  <c r="L3" i="18" s="1"/>
  <c r="J6" i="18"/>
  <c r="L6" i="18" s="1"/>
  <c r="A4" i="18"/>
  <c r="A2" i="18"/>
  <c r="A5" i="18"/>
  <c r="A3" i="18"/>
  <c r="A6" i="18"/>
  <c r="J7" i="18"/>
  <c r="L2" i="18"/>
  <c r="J6" i="17"/>
  <c r="L6" i="17" s="1"/>
  <c r="J5" i="17"/>
  <c r="L5" i="17" s="1"/>
  <c r="J4" i="17"/>
  <c r="L4" i="17" s="1"/>
  <c r="J2" i="17"/>
  <c r="K7" i="17"/>
  <c r="J3" i="17"/>
  <c r="L3" i="17" s="1"/>
  <c r="L2" i="17"/>
  <c r="A4" i="17"/>
  <c r="A2" i="17"/>
  <c r="A5" i="17"/>
  <c r="A3" i="17"/>
  <c r="A6" i="17"/>
  <c r="J2" i="16"/>
  <c r="K7" i="16"/>
  <c r="J6" i="16"/>
  <c r="L6" i="16" s="1"/>
  <c r="J4" i="16"/>
  <c r="L4" i="16" s="1"/>
  <c r="L2" i="16"/>
  <c r="A4" i="16"/>
  <c r="A2" i="16"/>
  <c r="A5" i="16"/>
  <c r="A6" i="16"/>
  <c r="A3" i="16"/>
  <c r="J4" i="15"/>
  <c r="L4" i="15" s="1"/>
  <c r="J3" i="15"/>
  <c r="L3" i="15" s="1"/>
  <c r="J2" i="15"/>
  <c r="K7" i="15"/>
  <c r="A4" i="15"/>
  <c r="A2" i="15"/>
  <c r="A5" i="15"/>
  <c r="A3" i="15"/>
  <c r="A6" i="15"/>
  <c r="J7" i="15"/>
  <c r="L2" i="15"/>
  <c r="K7" i="14"/>
  <c r="J4" i="14"/>
  <c r="L4" i="14" s="1"/>
  <c r="J3" i="14"/>
  <c r="L3" i="14" s="1"/>
  <c r="J6" i="14"/>
  <c r="L6" i="14" s="1"/>
  <c r="J2" i="14"/>
  <c r="L2" i="14"/>
  <c r="A4" i="14"/>
  <c r="A2" i="14"/>
  <c r="A5" i="14"/>
  <c r="A3" i="14"/>
  <c r="A6" i="14"/>
  <c r="J6" i="13"/>
  <c r="L6" i="13" s="1"/>
  <c r="J5" i="13"/>
  <c r="L5" i="13" s="1"/>
  <c r="K7" i="13"/>
  <c r="J3" i="13"/>
  <c r="L3" i="13" s="1"/>
  <c r="J2" i="13"/>
  <c r="J4" i="13"/>
  <c r="L4" i="13" s="1"/>
  <c r="A4" i="13"/>
  <c r="A2" i="13"/>
  <c r="A3" i="13"/>
  <c r="A6" i="13"/>
  <c r="A5" i="13"/>
  <c r="J7" i="13"/>
  <c r="L2" i="13"/>
  <c r="J4" i="12"/>
  <c r="L4" i="12" s="1"/>
  <c r="J2" i="12"/>
  <c r="A2" i="12"/>
  <c r="A5" i="12"/>
  <c r="A3" i="12"/>
  <c r="A6" i="12"/>
  <c r="A4" i="12"/>
  <c r="J7" i="12"/>
  <c r="L2" i="12"/>
  <c r="J4" i="11"/>
  <c r="L4" i="11" s="1"/>
  <c r="J3" i="11"/>
  <c r="L3" i="11" s="1"/>
  <c r="L2" i="11"/>
  <c r="A5" i="11"/>
  <c r="A3" i="11"/>
  <c r="A4" i="11"/>
  <c r="A2" i="11"/>
  <c r="A6" i="11"/>
  <c r="J6" i="10"/>
  <c r="L6" i="10" s="1"/>
  <c r="J4" i="10"/>
  <c r="L4" i="10" s="1"/>
  <c r="J5" i="10"/>
  <c r="L5" i="10" s="1"/>
  <c r="J2" i="10"/>
  <c r="J3" i="10"/>
  <c r="L3" i="10" s="1"/>
  <c r="A5" i="10"/>
  <c r="A3" i="10"/>
  <c r="A4" i="10"/>
  <c r="A2" i="10"/>
  <c r="A6" i="10"/>
  <c r="L2" i="10"/>
  <c r="F6" i="8"/>
  <c r="K6" i="9"/>
  <c r="I6" i="9"/>
  <c r="H6" i="9"/>
  <c r="K5" i="9"/>
  <c r="I5" i="9"/>
  <c r="H5" i="9"/>
  <c r="K4" i="9"/>
  <c r="I4" i="9"/>
  <c r="H4" i="9"/>
  <c r="J4" i="9" s="1"/>
  <c r="L4" i="9" s="1"/>
  <c r="K3" i="9"/>
  <c r="I3" i="9"/>
  <c r="H3" i="9"/>
  <c r="K2" i="9"/>
  <c r="I2" i="9"/>
  <c r="H2" i="9"/>
  <c r="A1" i="9" a="1"/>
  <c r="A1" i="9" s="1"/>
  <c r="K6" i="8"/>
  <c r="I6" i="8"/>
  <c r="H6" i="8"/>
  <c r="J6" i="8" s="1"/>
  <c r="L6" i="8" s="1"/>
  <c r="K5" i="8"/>
  <c r="I5" i="8"/>
  <c r="H5" i="8"/>
  <c r="J5" i="8" s="1"/>
  <c r="L5" i="8" s="1"/>
  <c r="F5" i="8"/>
  <c r="K4" i="8"/>
  <c r="I4" i="8"/>
  <c r="H4" i="8"/>
  <c r="F4" i="8"/>
  <c r="K3" i="8"/>
  <c r="I3" i="8"/>
  <c r="H3" i="8"/>
  <c r="F3" i="8"/>
  <c r="K2" i="8"/>
  <c r="I2" i="8"/>
  <c r="H2" i="8"/>
  <c r="F2" i="8"/>
  <c r="A1" i="8" a="1"/>
  <c r="A1" i="8" s="1"/>
  <c r="A2" i="8" s="1"/>
  <c r="F6" i="5"/>
  <c r="F5" i="5"/>
  <c r="F4" i="5"/>
  <c r="F3" i="5"/>
  <c r="F2" i="5"/>
  <c r="F6" i="6"/>
  <c r="F5" i="6"/>
  <c r="F4" i="6"/>
  <c r="F3" i="6"/>
  <c r="F2" i="6"/>
  <c r="F3" i="7"/>
  <c r="F4" i="7"/>
  <c r="F5" i="7"/>
  <c r="F6" i="7"/>
  <c r="F2" i="7"/>
  <c r="K6" i="7"/>
  <c r="I6" i="7"/>
  <c r="H6" i="7"/>
  <c r="K5" i="7"/>
  <c r="I5" i="7"/>
  <c r="H5" i="7"/>
  <c r="K4" i="7"/>
  <c r="I4" i="7"/>
  <c r="H4" i="7"/>
  <c r="J4" i="7" s="1"/>
  <c r="L4" i="7" s="1"/>
  <c r="K3" i="7"/>
  <c r="I3" i="7"/>
  <c r="H3" i="7"/>
  <c r="K2" i="7"/>
  <c r="I2" i="7"/>
  <c r="H2" i="7"/>
  <c r="A1" i="7" a="1"/>
  <c r="A1" i="7" s="1"/>
  <c r="K6" i="6"/>
  <c r="I6" i="6"/>
  <c r="H6" i="6"/>
  <c r="K5" i="6"/>
  <c r="I5" i="6"/>
  <c r="H5" i="6"/>
  <c r="K4" i="6"/>
  <c r="I4" i="6"/>
  <c r="H4" i="6"/>
  <c r="K3" i="6"/>
  <c r="I3" i="6"/>
  <c r="H3" i="6"/>
  <c r="K2" i="6"/>
  <c r="I2" i="6"/>
  <c r="H2" i="6"/>
  <c r="A1" i="6" a="1"/>
  <c r="A1" i="6" s="1"/>
  <c r="L6" i="5"/>
  <c r="K6" i="5"/>
  <c r="I6" i="5"/>
  <c r="H6" i="5"/>
  <c r="K5" i="5"/>
  <c r="I5" i="5"/>
  <c r="H5" i="5"/>
  <c r="K4" i="5"/>
  <c r="I4" i="5"/>
  <c r="H4" i="5"/>
  <c r="K3" i="5"/>
  <c r="I3" i="5"/>
  <c r="H3" i="5"/>
  <c r="K2" i="5"/>
  <c r="I2" i="5"/>
  <c r="H2" i="5"/>
  <c r="A1" i="5" a="1"/>
  <c r="A1" i="5" s="1"/>
  <c r="J6" i="4"/>
  <c r="H6" i="4"/>
  <c r="G6" i="4"/>
  <c r="J5" i="4"/>
  <c r="H5" i="4"/>
  <c r="G5" i="4"/>
  <c r="J4" i="4"/>
  <c r="H4" i="4"/>
  <c r="G4" i="4"/>
  <c r="I4" i="4" s="1"/>
  <c r="K4" i="4" s="1"/>
  <c r="J3" i="4"/>
  <c r="H3" i="4"/>
  <c r="G3" i="4"/>
  <c r="J2" i="4"/>
  <c r="H2" i="4"/>
  <c r="G2" i="4"/>
  <c r="I2" i="4" s="1"/>
  <c r="A1" i="4" a="1"/>
  <c r="A1" i="4" s="1"/>
  <c r="J6" i="3"/>
  <c r="H6" i="3"/>
  <c r="G6" i="3"/>
  <c r="J5" i="3"/>
  <c r="H5" i="3"/>
  <c r="G5" i="3"/>
  <c r="J4" i="3"/>
  <c r="H4" i="3"/>
  <c r="G4" i="3"/>
  <c r="I4" i="3" s="1"/>
  <c r="K4" i="3" s="1"/>
  <c r="J3" i="3"/>
  <c r="H3" i="3"/>
  <c r="G3" i="3"/>
  <c r="J2" i="3"/>
  <c r="H2" i="3"/>
  <c r="G2" i="3"/>
  <c r="A1" i="3" a="1"/>
  <c r="A1" i="3" s="1"/>
  <c r="J6" i="2"/>
  <c r="H6" i="2"/>
  <c r="G6" i="2"/>
  <c r="J5" i="2"/>
  <c r="H5" i="2"/>
  <c r="G5" i="2"/>
  <c r="J4" i="2"/>
  <c r="H4" i="2"/>
  <c r="G4" i="2"/>
  <c r="I4" i="2" s="1"/>
  <c r="K4" i="2" s="1"/>
  <c r="J3" i="2"/>
  <c r="H3" i="2"/>
  <c r="G3" i="2"/>
  <c r="J2" i="2"/>
  <c r="H2" i="2"/>
  <c r="G2" i="2"/>
  <c r="A1" i="2" a="1"/>
  <c r="A1" i="2" s="1"/>
  <c r="J6" i="1"/>
  <c r="H6" i="1"/>
  <c r="G6" i="1"/>
  <c r="J5" i="1"/>
  <c r="H5" i="1"/>
  <c r="G5" i="1"/>
  <c r="J4" i="1"/>
  <c r="H4" i="1"/>
  <c r="G4" i="1"/>
  <c r="J3" i="1"/>
  <c r="H3" i="1"/>
  <c r="G3" i="1"/>
  <c r="I3" i="1" s="1"/>
  <c r="K3" i="1" s="1"/>
  <c r="J2" i="1"/>
  <c r="H2" i="1"/>
  <c r="G2" i="1"/>
  <c r="A1" i="1" a="1"/>
  <c r="A1" i="1" s="1"/>
  <c r="J7" i="41" l="1"/>
  <c r="J10" i="41" s="1"/>
  <c r="L7" i="40"/>
  <c r="J7" i="40"/>
  <c r="J7" i="38"/>
  <c r="L7" i="38"/>
  <c r="J10" i="39"/>
  <c r="J9" i="39"/>
  <c r="J10" i="38"/>
  <c r="J9" i="38"/>
  <c r="L7" i="37"/>
  <c r="J7" i="37"/>
  <c r="J10" i="37" s="1"/>
  <c r="J7" i="36"/>
  <c r="J10" i="36" s="1"/>
  <c r="J10" i="35"/>
  <c r="J9" i="35"/>
  <c r="J7" i="34"/>
  <c r="J10" i="34" s="1"/>
  <c r="L7" i="34"/>
  <c r="L7" i="33"/>
  <c r="J7" i="33"/>
  <c r="J10" i="33" s="1"/>
  <c r="J9" i="32"/>
  <c r="L7" i="31"/>
  <c r="J7" i="31"/>
  <c r="J10" i="31" s="1"/>
  <c r="L7" i="30"/>
  <c r="J7" i="30"/>
  <c r="L7" i="29"/>
  <c r="J10" i="29"/>
  <c r="J9" i="29"/>
  <c r="L7" i="28"/>
  <c r="J7" i="28"/>
  <c r="J10" i="28" s="1"/>
  <c r="J10" i="27"/>
  <c r="J9" i="27"/>
  <c r="J7" i="26"/>
  <c r="J9" i="26" s="1"/>
  <c r="L2" i="26"/>
  <c r="J7" i="25"/>
  <c r="J10" i="25" s="1"/>
  <c r="J10" i="24"/>
  <c r="J9" i="24"/>
  <c r="J10" i="23"/>
  <c r="J9" i="23"/>
  <c r="J7" i="22"/>
  <c r="J10" i="22" s="1"/>
  <c r="L2" i="22"/>
  <c r="J10" i="21"/>
  <c r="J9" i="21"/>
  <c r="J10" i="20"/>
  <c r="J9" i="20"/>
  <c r="J10" i="19"/>
  <c r="J9" i="19"/>
  <c r="J10" i="18"/>
  <c r="J9" i="18"/>
  <c r="J7" i="17"/>
  <c r="J10" i="17" s="1"/>
  <c r="J7" i="16"/>
  <c r="J10" i="16" s="1"/>
  <c r="J10" i="15"/>
  <c r="J9" i="15"/>
  <c r="J7" i="14"/>
  <c r="J10" i="14" s="1"/>
  <c r="J10" i="13"/>
  <c r="J9" i="13"/>
  <c r="J10" i="12"/>
  <c r="J9" i="12"/>
  <c r="J7" i="11"/>
  <c r="J10" i="11" s="1"/>
  <c r="J7" i="10"/>
  <c r="J10" i="10" s="1"/>
  <c r="J6" i="9"/>
  <c r="L6" i="9" s="1"/>
  <c r="J5" i="9"/>
  <c r="L5" i="9" s="1"/>
  <c r="J3" i="9"/>
  <c r="L3" i="9" s="1"/>
  <c r="A2" i="9"/>
  <c r="A5" i="9"/>
  <c r="A3" i="9"/>
  <c r="A6" i="9"/>
  <c r="A4" i="9"/>
  <c r="J4" i="8"/>
  <c r="L4" i="8" s="1"/>
  <c r="J3" i="8"/>
  <c r="L3" i="8" s="1"/>
  <c r="J2" i="8"/>
  <c r="L2" i="8"/>
  <c r="A4" i="8"/>
  <c r="A6" i="8"/>
  <c r="A3" i="8"/>
  <c r="A5" i="8"/>
  <c r="J6" i="7"/>
  <c r="L6" i="7" s="1"/>
  <c r="J3" i="7"/>
  <c r="L3" i="7" s="1"/>
  <c r="J2" i="7"/>
  <c r="L2" i="7" s="1"/>
  <c r="J5" i="7"/>
  <c r="L5" i="7" s="1"/>
  <c r="A5" i="7"/>
  <c r="A3" i="7"/>
  <c r="A6" i="7"/>
  <c r="A4" i="7"/>
  <c r="A2" i="7"/>
  <c r="J4" i="6"/>
  <c r="L4" i="6" s="1"/>
  <c r="J2" i="6"/>
  <c r="L2" i="6" s="1"/>
  <c r="J6" i="6"/>
  <c r="L6" i="6" s="1"/>
  <c r="J5" i="6"/>
  <c r="L5" i="6" s="1"/>
  <c r="J3" i="6"/>
  <c r="L3" i="6" s="1"/>
  <c r="A5" i="6"/>
  <c r="A3" i="6"/>
  <c r="A2" i="6"/>
  <c r="A4" i="6"/>
  <c r="A6" i="6"/>
  <c r="J6" i="5"/>
  <c r="J5" i="5"/>
  <c r="L5" i="5" s="1"/>
  <c r="J4" i="5"/>
  <c r="L4" i="5" s="1"/>
  <c r="J3" i="5"/>
  <c r="J2" i="5"/>
  <c r="L2" i="5" s="1"/>
  <c r="A6" i="5"/>
  <c r="A2" i="5"/>
  <c r="A4" i="5"/>
  <c r="A5" i="5"/>
  <c r="A3" i="5"/>
  <c r="I6" i="4"/>
  <c r="K6" i="4" s="1"/>
  <c r="I3" i="4"/>
  <c r="K3" i="4" s="1"/>
  <c r="I5" i="4"/>
  <c r="K5" i="4" s="1"/>
  <c r="A5" i="4"/>
  <c r="A3" i="4"/>
  <c r="A6" i="4"/>
  <c r="A2" i="4"/>
  <c r="A4" i="4"/>
  <c r="K2" i="4"/>
  <c r="I6" i="3"/>
  <c r="K6" i="3" s="1"/>
  <c r="I3" i="3"/>
  <c r="K3" i="3" s="1"/>
  <c r="I2" i="3"/>
  <c r="I5" i="3"/>
  <c r="K5" i="3" s="1"/>
  <c r="A3" i="3"/>
  <c r="A2" i="3"/>
  <c r="A5" i="3"/>
  <c r="A4" i="3"/>
  <c r="A6" i="3"/>
  <c r="I7" i="3"/>
  <c r="I9" i="3" s="1"/>
  <c r="K2" i="3"/>
  <c r="I6" i="2"/>
  <c r="K6" i="2" s="1"/>
  <c r="I3" i="2"/>
  <c r="I2" i="2"/>
  <c r="K2" i="2" s="1"/>
  <c r="I5" i="2"/>
  <c r="K5" i="2" s="1"/>
  <c r="A5" i="2"/>
  <c r="A3" i="2"/>
  <c r="A4" i="2"/>
  <c r="A2" i="2"/>
  <c r="A6" i="2"/>
  <c r="I7" i="2"/>
  <c r="I9" i="2" s="1"/>
  <c r="K3" i="2"/>
  <c r="I6" i="1"/>
  <c r="K6" i="1" s="1"/>
  <c r="I5" i="1"/>
  <c r="K5" i="1" s="1"/>
  <c r="I4" i="1"/>
  <c r="K4" i="1" s="1"/>
  <c r="I2" i="1"/>
  <c r="K2" i="1" s="1"/>
  <c r="A5" i="1"/>
  <c r="A3" i="1"/>
  <c r="A6" i="1"/>
  <c r="A4" i="1"/>
  <c r="A2" i="1"/>
  <c r="I7" i="1"/>
  <c r="I9" i="1" s="1"/>
  <c r="J9" i="41" l="1"/>
  <c r="J9" i="40"/>
  <c r="J10" i="40"/>
  <c r="J9" i="37"/>
  <c r="J9" i="36"/>
  <c r="J9" i="34"/>
  <c r="J9" i="33"/>
  <c r="J9" i="31"/>
  <c r="J10" i="30"/>
  <c r="J9" i="30"/>
  <c r="J9" i="28"/>
  <c r="J10" i="26"/>
  <c r="J9" i="25"/>
  <c r="J9" i="22"/>
  <c r="J9" i="17"/>
  <c r="J9" i="16"/>
  <c r="J9" i="14"/>
  <c r="J9" i="11"/>
  <c r="J9" i="10"/>
  <c r="J7" i="8"/>
  <c r="J9" i="8" s="1"/>
  <c r="J7" i="7"/>
  <c r="J9" i="7" s="1"/>
  <c r="J7" i="6"/>
  <c r="J9" i="6" s="1"/>
  <c r="J7" i="5"/>
  <c r="J9" i="5" s="1"/>
  <c r="L3" i="5"/>
  <c r="I7" i="4"/>
  <c r="I9" i="4" s="1"/>
  <c r="J2" i="9"/>
  <c r="J7" i="9" s="1"/>
  <c r="J10" i="9" s="1"/>
  <c r="J9" i="9" l="1"/>
  <c r="L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<sst xmlns="http://schemas.openxmlformats.org/spreadsheetml/2006/main" count="562" uniqueCount="25">
  <si>
    <t>In</t>
  </si>
  <si>
    <t>(Lunch)
Out</t>
  </si>
  <si>
    <t>(Lunch)
In</t>
  </si>
  <si>
    <t>Out</t>
  </si>
  <si>
    <t>Applicable
PTO / Holiday / Bereavement</t>
  </si>
  <si>
    <t>Morning Hours</t>
  </si>
  <si>
    <t>Afternoon Hours</t>
  </si>
  <si>
    <t>Total Hours</t>
  </si>
  <si>
    <t>Lunch
(Mins)</t>
  </si>
  <si>
    <t>Over / Under
(Mins)</t>
  </si>
  <si>
    <t>Weekly Hour</t>
  </si>
  <si>
    <t>Hours to 40</t>
  </si>
  <si>
    <t>Morning
Hours</t>
  </si>
  <si>
    <t>Afternoon
Hours</t>
  </si>
  <si>
    <t>Total
Hours</t>
  </si>
  <si>
    <r>
      <t xml:space="preserve">Time Off
</t>
    </r>
    <r>
      <rPr>
        <b/>
        <sz val="12"/>
        <color theme="1"/>
        <rFont val="Calibri"/>
        <family val="2"/>
        <scheme val="minor"/>
      </rPr>
      <t>(Holiday, Bereavement, etc.)</t>
    </r>
  </si>
  <si>
    <t>Daily Punch
Count</t>
  </si>
  <si>
    <r>
      <t xml:space="preserve">Lunch
</t>
    </r>
    <r>
      <rPr>
        <b/>
        <sz val="14"/>
        <color theme="1"/>
        <rFont val="Calibri"/>
        <family val="2"/>
        <scheme val="minor"/>
      </rPr>
      <t>(Mins)</t>
    </r>
  </si>
  <si>
    <r>
      <t xml:space="preserve">Over / Under
</t>
    </r>
    <r>
      <rPr>
        <b/>
        <sz val="14"/>
        <color theme="1"/>
        <rFont val="Calibri"/>
        <family val="2"/>
        <scheme val="minor"/>
      </rPr>
      <t>(Mins)</t>
    </r>
  </si>
  <si>
    <r>
      <t xml:space="preserve">Out
</t>
    </r>
    <r>
      <rPr>
        <b/>
        <sz val="14"/>
        <color theme="1"/>
        <rFont val="Calibri"/>
        <family val="2"/>
        <scheme val="minor"/>
      </rPr>
      <t>(Lunch)</t>
    </r>
  </si>
  <si>
    <r>
      <t xml:space="preserve">In
</t>
    </r>
    <r>
      <rPr>
        <b/>
        <sz val="14"/>
        <color theme="1"/>
        <rFont val="Calibri"/>
        <family val="2"/>
        <scheme val="minor"/>
      </rPr>
      <t>(Lunch)</t>
    </r>
  </si>
  <si>
    <t>Hours &gt; 40</t>
  </si>
  <si>
    <t>Pre-Lunch
Hours</t>
  </si>
  <si>
    <t>Post-Lunch
Hours</t>
  </si>
  <si>
    <r>
      <t xml:space="preserve">Time Off
</t>
    </r>
    <r>
      <rPr>
        <b/>
        <sz val="12"/>
        <color theme="1"/>
        <rFont val="Calibri"/>
        <family val="2"/>
        <scheme val="minor"/>
      </rPr>
      <t>(PTO, Holiday, Bereavement, etc.)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</si>
</sst>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_);[Red]\(0\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2D2D2D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14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/>
    <xf numFmtId="18" fontId="4" fillId="0" borderId="4" xfId="0" applyNumberFormat="1" applyFont="1" applyBorder="1" applyAlignment="1">
      <alignment horizontal="center"/>
    </xf>
    <xf numFmtId="18" fontId="4" fillId="0" borderId="5" xfId="0" applyNumberFormat="1" applyFont="1" applyBorder="1" applyAlignment="1">
      <alignment horizontal="center"/>
    </xf>
    <xf numFmtId="43" fontId="5" fillId="2" borderId="3" xfId="1" applyFont="1" applyFill="1" applyBorder="1" applyAlignment="1">
      <alignment horizontal="center"/>
    </xf>
    <xf numFmtId="43" fontId="5" fillId="2" borderId="1" xfId="1" applyFont="1" applyFill="1" applyBorder="1" applyAlignment="1">
      <alignment horizontal="center"/>
    </xf>
    <xf numFmtId="43" fontId="4" fillId="0" borderId="1" xfId="0" applyNumberFormat="1" applyFont="1" applyBorder="1" applyAlignment="1">
      <alignment horizontal="center"/>
    </xf>
    <xf numFmtId="43" fontId="5" fillId="0" borderId="1" xfId="1" applyFont="1" applyFill="1" applyBorder="1" applyAlignment="1">
      <alignment horizontal="center"/>
    </xf>
    <xf numFmtId="43" fontId="5" fillId="0" borderId="6" xfId="1" applyFont="1" applyFill="1" applyBorder="1" applyAlignment="1">
      <alignment horizontal="center"/>
    </xf>
    <xf numFmtId="43" fontId="0" fillId="0" borderId="0" xfId="0" applyNumberFormat="1"/>
    <xf numFmtId="14" fontId="3" fillId="2" borderId="4" xfId="0" applyNumberFormat="1" applyFont="1" applyFill="1" applyBorder="1"/>
    <xf numFmtId="43" fontId="5" fillId="2" borderId="4" xfId="1" applyFont="1" applyFill="1" applyBorder="1" applyAlignment="1">
      <alignment horizontal="center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6" fillId="0" borderId="7" xfId="0" applyNumberFormat="1" applyFont="1" applyBorder="1" applyAlignment="1">
      <alignment horizontal="center"/>
    </xf>
    <xf numFmtId="43" fontId="4" fillId="0" borderId="0" xfId="0" applyNumberFormat="1" applyFont="1" applyAlignment="1">
      <alignment horizontal="center"/>
    </xf>
    <xf numFmtId="0" fontId="3" fillId="0" borderId="8" xfId="0" applyFont="1" applyBorder="1" applyAlignment="1">
      <alignment horizontal="center"/>
    </xf>
    <xf numFmtId="43" fontId="4" fillId="0" borderId="9" xfId="0" applyNumberFormat="1" applyFont="1" applyBorder="1" applyAlignment="1">
      <alignment horizontal="center"/>
    </xf>
    <xf numFmtId="40" fontId="0" fillId="0" borderId="0" xfId="0" applyNumberFormat="1"/>
    <xf numFmtId="18" fontId="4" fillId="2" borderId="4" xfId="0" applyNumberFormat="1" applyFont="1" applyFill="1" applyBorder="1" applyAlignment="1">
      <alignment horizontal="center"/>
    </xf>
    <xf numFmtId="43" fontId="5" fillId="2" borderId="11" xfId="1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wrapText="1"/>
    </xf>
    <xf numFmtId="164" fontId="4" fillId="0" borderId="12" xfId="0" applyNumberFormat="1" applyFont="1" applyBorder="1" applyAlignment="1">
      <alignment horizontal="center"/>
    </xf>
    <xf numFmtId="18" fontId="4" fillId="2" borderId="5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43" fontId="4" fillId="0" borderId="0" xfId="0" applyNumberFormat="1" applyFont="1"/>
    <xf numFmtId="43" fontId="5" fillId="0" borderId="0" xfId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4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CC5C5-F7CB-43C7-9CDC-410BE50A947C}">
  <dimension ref="A1:M25"/>
  <sheetViews>
    <sheetView tabSelected="1" zoomScale="85" zoomScaleNormal="85" workbookViewId="0">
      <selection activeCell="C6" sqref="C6"/>
    </sheetView>
  </sheetViews>
  <sheetFormatPr defaultRowHeight="23.25" x14ac:dyDescent="0.35"/>
  <cols>
    <col min="1" max="1" width="17.42578125" style="18" bestFit="1" customWidth="1"/>
    <col min="2" max="2" width="14.5703125" style="20" bestFit="1" customWidth="1"/>
    <col min="3" max="5" width="1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10/12/2026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(12th)</v>
      </c>
      <c r="B2" s="8">
        <v>0.28819444444444442</v>
      </c>
      <c r="C2" s="8">
        <v>0.54513888888888884</v>
      </c>
      <c r="D2" s="8">
        <v>0.57638888888888884</v>
      </c>
      <c r="E2" s="8">
        <v>0.66666666666666663</v>
      </c>
      <c r="F2" s="30">
        <f>IF(G2 &gt;= 8, 4 + COUNT(B2:E2), IF(AND(G2 &gt;= 4, G2 &lt;= 7), 2 + COUNT(B2:E2), COUNT(B2:E2)))</f>
        <v>4</v>
      </c>
      <c r="G2" s="28"/>
      <c r="H2" s="10">
        <f>SUM(C2 - B2) * 24</f>
        <v>6.1666666666666661</v>
      </c>
      <c r="I2" s="11">
        <f>SUM(E2 - D2) * 24</f>
        <v>2.166666666666667</v>
      </c>
      <c r="J2" s="12">
        <f>H2 + I2 + G2</f>
        <v>8.3333333333333321</v>
      </c>
      <c r="K2" s="13">
        <f>IF(AND(C2 &lt;&gt; "", D2 &lt;&gt; ""), (SUM(D2 - C2) * 1440), " - ")</f>
        <v>45</v>
      </c>
      <c r="L2" s="14">
        <f>IF(AND((B2 &lt;&gt; ""), (C2 &lt;&gt; ""), (D2 &lt;&gt; ""), (E2 &lt;&gt; "")), IF((((8 - J2) * 60) + 1) &gt; 0, (((8 - J2) * 60) + 1), (((8 - J2) * 60) - 1)), "-")</f>
        <v>-20.999999999999929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(13th)</v>
      </c>
      <c r="B3" s="8">
        <v>0.28819444444444442</v>
      </c>
      <c r="C3" s="8">
        <v>0.5625</v>
      </c>
      <c r="D3" s="8">
        <v>0.59236111111111112</v>
      </c>
      <c r="E3" s="8">
        <v>0.66666666666666663</v>
      </c>
      <c r="F3" s="30">
        <f t="shared" ref="F3:F6" si="0">IF(G3 &gt;= 8, 4 + COUNT(B3:E3), IF(AND(G3 &gt;= 4, G3 &lt;= 7), 2 + COUNT(B3:E3), COUNT(B3:E3)))</f>
        <v>4</v>
      </c>
      <c r="G3" s="28"/>
      <c r="H3" s="10">
        <f>SUM(C3 - B3) * 24</f>
        <v>6.5833333333333339</v>
      </c>
      <c r="I3" s="11">
        <f>SUM(E3 - D3) * 24</f>
        <v>1.7833333333333323</v>
      </c>
      <c r="J3" s="12">
        <f t="shared" ref="J3:J6" si="1">H3 + I3 + G3</f>
        <v>8.3666666666666671</v>
      </c>
      <c r="K3" s="13">
        <f>IF(AND(C3 &lt;&gt; "", D3 &lt;&gt; ""), (SUM(D3 - C3) * 1440), " - ")</f>
        <v>43.000000000000007</v>
      </c>
      <c r="L3" s="14">
        <f>IF(AND((B3 &lt;&gt; ""), (C3 &lt;&gt; ""), (D3 &lt;&gt; ""), (E3 &lt;&gt; "")), IF((((8 - J3) * 60) + 1) &gt; 0, (((8 - J3) * 60) + 1), (((8 - J3) * 60) - 1)), "-")</f>
        <v>-23.000000000000028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(14th)</v>
      </c>
      <c r="B4" s="8">
        <v>0.28819444444444442</v>
      </c>
      <c r="C4" s="8">
        <v>0.56527777777777777</v>
      </c>
      <c r="D4" s="8">
        <v>0.59652777777777777</v>
      </c>
      <c r="E4" s="8">
        <v>0.66666666666666663</v>
      </c>
      <c r="F4" s="30">
        <f>IF(G4 &gt;= 8, 4 + COUNT(B4:E4), IF(AND(G4 &gt;= 4, G4 &lt;= 7), 2 + COUNT(B4:E4), COUNT(B4:E4)))</f>
        <v>4</v>
      </c>
      <c r="G4" s="28"/>
      <c r="H4" s="10">
        <f t="shared" ref="H4:H5" si="2">SUM(C4 - B4) * 24</f>
        <v>6.65</v>
      </c>
      <c r="I4" s="11">
        <f t="shared" ref="I4:I6" si="3">SUM(E4 - D4) * 24</f>
        <v>1.6833333333333327</v>
      </c>
      <c r="J4" s="12">
        <f t="shared" si="1"/>
        <v>8.3333333333333321</v>
      </c>
      <c r="K4" s="13">
        <f t="shared" ref="K4:K6" si="4">IF(AND(C4 &lt;&gt; "", D4 &lt;&gt; ""), (SUM(D4 - C4) * 1440), " - ")</f>
        <v>45</v>
      </c>
      <c r="L4" s="14">
        <f t="shared" ref="L4:L5" si="5">IF(AND((B4 &lt;&gt; ""), (C4 &lt;&gt; ""), (D4 &lt;&gt; ""), (E4 &lt;&gt; "")), IF((((8 - J4) * 60) + 1) &gt; 0, (((8 - J4) * 60) + 1), (((8 - J4) * 60) - 1)), "-")</f>
        <v>-20.999999999999929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(15th)</v>
      </c>
      <c r="B5" s="8">
        <v>0.28819444444444442</v>
      </c>
      <c r="C5" s="8">
        <v>0.49166666666666664</v>
      </c>
      <c r="D5" s="8">
        <v>0.5229166666666667</v>
      </c>
      <c r="E5" s="8">
        <v>0.66666666666666663</v>
      </c>
      <c r="F5" s="30">
        <f t="shared" si="0"/>
        <v>4</v>
      </c>
      <c r="G5" s="28"/>
      <c r="H5" s="10">
        <f t="shared" si="2"/>
        <v>4.8833333333333329</v>
      </c>
      <c r="I5" s="11">
        <f t="shared" si="3"/>
        <v>3.4499999999999984</v>
      </c>
      <c r="J5" s="12">
        <f t="shared" si="1"/>
        <v>8.3333333333333321</v>
      </c>
      <c r="K5" s="13">
        <f t="shared" si="4"/>
        <v>45.000000000000078</v>
      </c>
      <c r="L5" s="14">
        <f t="shared" si="5"/>
        <v>-20.999999999999929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(16th)</v>
      </c>
      <c r="B6" s="8">
        <v>0.28819444444444442</v>
      </c>
      <c r="C6" s="8"/>
      <c r="D6" s="8"/>
      <c r="E6" s="8">
        <v>0.66666666666666663</v>
      </c>
      <c r="F6" s="30">
        <f t="shared" si="0"/>
        <v>2</v>
      </c>
      <c r="G6" s="10"/>
      <c r="H6" s="10">
        <f>SUM(C6 - B6) * 24</f>
        <v>-6.9166666666666661</v>
      </c>
      <c r="I6" s="11">
        <f t="shared" si="3"/>
        <v>16</v>
      </c>
      <c r="J6" s="12">
        <f t="shared" si="1"/>
        <v>9.0833333333333339</v>
      </c>
      <c r="K6" s="13" t="str">
        <f t="shared" si="4"/>
        <v xml:space="preserve"> - </v>
      </c>
      <c r="L6" s="14" t="str">
        <f>IF(AND((B6 &lt;&gt; ""), (C6 &lt;&gt; ""), (D6 &lt;&gt; ""), (E6 &lt;&gt; "")), IF((((8 - J6) * 60) + 1) &gt; 0, (((8 - J6) * 60) + 1), (((8 - J6) * 60) - 1)), "-")</f>
        <v>-</v>
      </c>
    </row>
    <row r="7" spans="1:13" ht="36.75" thickBot="1" x14ac:dyDescent="0.6">
      <c r="B7" s="19"/>
      <c r="I7" s="21" t="s">
        <v>10</v>
      </c>
      <c r="J7" s="22">
        <f>SUM(J2:J6)</f>
        <v>42.449999999999996</v>
      </c>
      <c r="K7" s="25">
        <f>IF(SUM(K2:K6) &lt;&gt; 0, ((60*5) - SUM(K2:K6)) / 60, 0)</f>
        <v>2.0333333333333319</v>
      </c>
      <c r="L7" s="34">
        <f>(IF(SUM(L2:L6) &lt;&gt; 0, (SUM(L2:L6)/ 60), 0) * -1) * 60</f>
        <v>85.999999999999815</v>
      </c>
      <c r="M7" s="15"/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-2.4499999999999957</v>
      </c>
      <c r="K9" s="26"/>
    </row>
    <row r="10" spans="1:13" ht="24" thickBot="1" x14ac:dyDescent="0.4">
      <c r="I10" s="32" t="s">
        <v>21</v>
      </c>
      <c r="J10" s="25">
        <f>IF(J7 &lt; 40, "-", J7-40)</f>
        <v>2.4499999999999957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420" priority="3" operator="greaterThan">
      <formula>3</formula>
    </cfRule>
    <cfRule type="cellIs" dxfId="419" priority="4" operator="lessThan">
      <formula>4</formula>
    </cfRule>
  </conditionalFormatting>
  <conditionalFormatting sqref="J2:J6">
    <cfRule type="cellIs" dxfId="418" priority="8" operator="greaterThan">
      <formula>7.99999999</formula>
    </cfRule>
    <cfRule type="cellIs" dxfId="417" priority="9" operator="lessThan">
      <formula>8</formula>
    </cfRule>
  </conditionalFormatting>
  <conditionalFormatting sqref="J7">
    <cfRule type="cellIs" dxfId="416" priority="10" operator="lessThan">
      <formula>40</formula>
    </cfRule>
    <cfRule type="cellIs" dxfId="415" priority="11" operator="greaterThan">
      <formula>39.999999</formula>
    </cfRule>
  </conditionalFormatting>
  <conditionalFormatting sqref="K7">
    <cfRule type="cellIs" dxfId="414" priority="1" operator="greaterThan">
      <formula>0</formula>
    </cfRule>
    <cfRule type="cellIs" dxfId="413" priority="2" operator="lessThan">
      <formula>0</formula>
    </cfRule>
  </conditionalFormatting>
  <conditionalFormatting sqref="L2:L6">
    <cfRule type="cellIs" dxfId="412" priority="5" operator="equal">
      <formula>"-"</formula>
    </cfRule>
    <cfRule type="cellIs" dxfId="411" priority="6" operator="greaterThan">
      <formula>0.1</formula>
    </cfRule>
    <cfRule type="cellIs" dxfId="410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39D3B-74C1-4606-AD5E-3ACF14EBFDDF}"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4.5703125" style="20" bestFit="1" customWidth="1"/>
    <col min="3" max="5" width="1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10/05/2026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(5th)</v>
      </c>
      <c r="B2" s="8">
        <v>0.28819444444444442</v>
      </c>
      <c r="C2" s="8">
        <v>0.52083333333333337</v>
      </c>
      <c r="D2" s="8">
        <v>0.55138888888888893</v>
      </c>
      <c r="E2" s="8">
        <v>0.66666666666666663</v>
      </c>
      <c r="F2" s="30">
        <f>IF(G2 &gt;= 8, 4 + COUNT(B2:E2), IF(AND(G2 &gt;= 4, G2 &lt;= 7), 2 + COUNT(B2:E2), COUNT(B2:E2)))</f>
        <v>4</v>
      </c>
      <c r="G2" s="28"/>
      <c r="H2" s="10">
        <f>SUM(C2 - B2) * 24</f>
        <v>5.5833333333333348</v>
      </c>
      <c r="I2" s="11">
        <f>SUM(E2 - D2) * 24</f>
        <v>2.7666666666666648</v>
      </c>
      <c r="J2" s="12">
        <f>H2 + I2 + G2</f>
        <v>8.35</v>
      </c>
      <c r="K2" s="13">
        <f>IF(AND(C2 &lt;&gt; "", D2 &lt;&gt; ""), (SUM(D2 - C2) * 1440), " - ")</f>
        <v>44</v>
      </c>
      <c r="L2" s="14">
        <f>IF(AND((B2 &lt;&gt; ""), (C2 &lt;&gt; ""), (D2 &lt;&gt; ""), (E2 &lt;&gt; "")), IF((((8 - J2) * 60) + 1) &gt; 0, (((8 - J2) * 60) + 1), (((8 - J2) * 60) - 1)), "-")</f>
        <v>-21.999999999999979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(6th)</v>
      </c>
      <c r="B3" s="8">
        <v>0.28819444444444442</v>
      </c>
      <c r="C3" s="8">
        <v>0.52361111111111114</v>
      </c>
      <c r="D3" s="8">
        <v>0.55486111111111114</v>
      </c>
      <c r="E3" s="8">
        <v>0.66666666666666663</v>
      </c>
      <c r="F3" s="30">
        <f t="shared" ref="F3:F6" si="0">IF(G3 &gt;= 8, 4 + COUNT(B3:E3), IF(AND(G3 &gt;= 4, G3 &lt;= 7), 2 + COUNT(B3:E3), COUNT(B3:E3)))</f>
        <v>4</v>
      </c>
      <c r="G3" s="28"/>
      <c r="H3" s="10">
        <f>SUM(C3 - B3) * 24</f>
        <v>5.6500000000000012</v>
      </c>
      <c r="I3" s="11">
        <f>SUM(E3 - D3) * 24</f>
        <v>2.6833333333333318</v>
      </c>
      <c r="J3" s="12">
        <f t="shared" ref="J3:J6" si="1">H3 + I3 + G3</f>
        <v>8.3333333333333321</v>
      </c>
      <c r="K3" s="13">
        <f>IF(AND(C3 &lt;&gt; "", D3 &lt;&gt; ""), (SUM(D3 - C3) * 1440), " - ")</f>
        <v>45</v>
      </c>
      <c r="L3" s="14">
        <f>IF(AND((B3 &lt;&gt; ""), (C3 &lt;&gt; ""), (D3 &lt;&gt; ""), (E3 &lt;&gt; "")), IF((((8 - J3) * 60) + 1) &gt; 0, (((8 - J3) * 60) + 1), (((8 - J3) * 60) - 1)), "-")</f>
        <v>-20.999999999999929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(7th)</v>
      </c>
      <c r="B4" s="8">
        <v>0.28819444444444442</v>
      </c>
      <c r="C4" s="8">
        <v>0.53472222222222221</v>
      </c>
      <c r="D4" s="8">
        <v>0.56597222222222221</v>
      </c>
      <c r="E4" s="8">
        <v>0.66666666666666663</v>
      </c>
      <c r="F4" s="30">
        <f>IF(G4 &gt;= 8, 4 + COUNT(B4:E4), IF(AND(G4 &gt;= 4, G4 &lt;= 7), 2 + COUNT(B4:E4), COUNT(B4:E4)))</f>
        <v>4</v>
      </c>
      <c r="G4" s="28"/>
      <c r="H4" s="10">
        <f t="shared" ref="H4:H5" si="2">SUM(C4 - B4) * 24</f>
        <v>5.916666666666667</v>
      </c>
      <c r="I4" s="11">
        <f t="shared" ref="I4:I6" si="3">SUM(E4 - D4) * 24</f>
        <v>2.4166666666666661</v>
      </c>
      <c r="J4" s="12">
        <f t="shared" si="1"/>
        <v>8.3333333333333321</v>
      </c>
      <c r="K4" s="13">
        <f t="shared" ref="K4:K6" si="4">IF(AND(C4 &lt;&gt; "", D4 &lt;&gt; ""), (SUM(D4 - C4) * 1440), " - ")</f>
        <v>45</v>
      </c>
      <c r="L4" s="14">
        <f t="shared" ref="L4:L5" si="5">IF(AND((B4 &lt;&gt; ""), (C4 &lt;&gt; ""), (D4 &lt;&gt; ""), (E4 &lt;&gt; "")), IF((((8 - J4) * 60) + 1) &gt; 0, (((8 - J4) * 60) + 1), (((8 - J4) * 60) - 1)), "-")</f>
        <v>-20.999999999999929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(8th)</v>
      </c>
      <c r="B5" s="8">
        <v>0.28819444444444442</v>
      </c>
      <c r="C5" s="8">
        <v>0.56805555555555554</v>
      </c>
      <c r="D5" s="8">
        <v>0.6</v>
      </c>
      <c r="E5" s="8">
        <v>0.66666666666666663</v>
      </c>
      <c r="F5" s="30">
        <f t="shared" si="0"/>
        <v>4</v>
      </c>
      <c r="G5" s="28"/>
      <c r="H5" s="10">
        <f t="shared" si="2"/>
        <v>6.7166666666666668</v>
      </c>
      <c r="I5" s="11">
        <f t="shared" si="3"/>
        <v>1.5999999999999996</v>
      </c>
      <c r="J5" s="12">
        <f t="shared" si="1"/>
        <v>8.3166666666666664</v>
      </c>
      <c r="K5" s="13">
        <f t="shared" si="4"/>
        <v>46</v>
      </c>
      <c r="L5" s="14">
        <f t="shared" si="5"/>
        <v>-19.999999999999986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(9th)</v>
      </c>
      <c r="B6" s="8">
        <v>0.28958333333333336</v>
      </c>
      <c r="C6" s="8">
        <v>0.56805555555555554</v>
      </c>
      <c r="D6" s="8">
        <v>0.59861111111111109</v>
      </c>
      <c r="E6" s="8">
        <v>0.66805555555555551</v>
      </c>
      <c r="F6" s="30">
        <f t="shared" si="0"/>
        <v>4</v>
      </c>
      <c r="G6" s="10"/>
      <c r="H6" s="10">
        <f>SUM(C6 - B6) * 24</f>
        <v>6.6833333333333318</v>
      </c>
      <c r="I6" s="11">
        <f t="shared" si="3"/>
        <v>1.6666666666666661</v>
      </c>
      <c r="J6" s="12">
        <f t="shared" si="1"/>
        <v>8.3499999999999979</v>
      </c>
      <c r="K6" s="13">
        <f t="shared" si="4"/>
        <v>44</v>
      </c>
      <c r="L6" s="14">
        <f>IF(AND((B6 &lt;&gt; ""), (C6 &lt;&gt; ""), (D6 &lt;&gt; ""), (E6 &lt;&gt; "")), IF((((8 - J6) * 60) + 1) &gt; 0, (((8 - J6) * 60) + 1), (((8 - J6) * 60) - 1)), "-")</f>
        <v>-21.999999999999872</v>
      </c>
    </row>
    <row r="7" spans="1:13" ht="36.75" thickBot="1" x14ac:dyDescent="0.6">
      <c r="B7" s="19"/>
      <c r="I7" s="21" t="s">
        <v>10</v>
      </c>
      <c r="J7" s="22">
        <f>SUM(J2:J6)</f>
        <v>41.683333333333323</v>
      </c>
      <c r="K7" s="25">
        <f>IF(SUM(K2:K6) &lt;&gt; 0, ((60*5) - SUM(K2:K6)) / 60, 0)</f>
        <v>1.2666666666666666</v>
      </c>
      <c r="L7" s="34">
        <f>(IF(SUM(L2:L6) &lt;&gt; 0, (SUM(L2:L6)/ 60), 0) * -1) * 60</f>
        <v>105.9999999999997</v>
      </c>
      <c r="M7" s="15"/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-1.6833333333333229</v>
      </c>
      <c r="K9" s="26"/>
    </row>
    <row r="10" spans="1:13" ht="24" thickBot="1" x14ac:dyDescent="0.4">
      <c r="I10" s="32" t="s">
        <v>21</v>
      </c>
      <c r="J10" s="25">
        <f>IF(J7 &lt; 40, "-", J7-40)</f>
        <v>1.6833333333333229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409" priority="3" operator="greaterThan">
      <formula>3</formula>
    </cfRule>
    <cfRule type="cellIs" dxfId="408" priority="4" operator="lessThan">
      <formula>4</formula>
    </cfRule>
  </conditionalFormatting>
  <conditionalFormatting sqref="J2:J6">
    <cfRule type="cellIs" dxfId="407" priority="8" operator="greaterThan">
      <formula>7.99999999</formula>
    </cfRule>
    <cfRule type="cellIs" dxfId="406" priority="9" operator="lessThan">
      <formula>8</formula>
    </cfRule>
  </conditionalFormatting>
  <conditionalFormatting sqref="J7">
    <cfRule type="cellIs" dxfId="405" priority="10" operator="lessThan">
      <formula>40</formula>
    </cfRule>
    <cfRule type="cellIs" dxfId="404" priority="11" operator="greaterThan">
      <formula>39.999999</formula>
    </cfRule>
  </conditionalFormatting>
  <conditionalFormatting sqref="K7">
    <cfRule type="cellIs" dxfId="403" priority="1" operator="greaterThan">
      <formula>0</formula>
    </cfRule>
    <cfRule type="cellIs" dxfId="402" priority="2" operator="lessThan">
      <formula>0</formula>
    </cfRule>
  </conditionalFormatting>
  <conditionalFormatting sqref="L2:L6">
    <cfRule type="cellIs" dxfId="401" priority="5" operator="equal">
      <formula>"-"</formula>
    </cfRule>
    <cfRule type="cellIs" dxfId="400" priority="6" operator="greaterThan">
      <formula>0.1</formula>
    </cfRule>
    <cfRule type="cellIs" dxfId="399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9A0F6-C2E7-4667-8D20-B384B9D566A1}"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4.5703125" style="20" bestFit="1" customWidth="1"/>
    <col min="3" max="5" width="1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09/28/2026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(28th)</v>
      </c>
      <c r="B2" s="8">
        <v>0.28819444444444442</v>
      </c>
      <c r="C2" s="8">
        <v>0.47986111111111113</v>
      </c>
      <c r="D2" s="8">
        <v>0.51597222222222228</v>
      </c>
      <c r="E2" s="8">
        <v>0.66736111111111107</v>
      </c>
      <c r="F2" s="30">
        <f>IF(G2 &gt;= 8, 4 + COUNT(B2:E2), IF(AND(G2 &gt;= 4, G2 &lt;= 7), 2 + COUNT(B2:E2), COUNT(B2:E2)))</f>
        <v>4</v>
      </c>
      <c r="G2" s="28"/>
      <c r="H2" s="10">
        <f>SUM(C2 - B2) * 24</f>
        <v>4.6000000000000014</v>
      </c>
      <c r="I2" s="11">
        <f>SUM(E2 - D2) * 24</f>
        <v>3.6333333333333311</v>
      </c>
      <c r="J2" s="12">
        <f>H2 + I2 + G2</f>
        <v>8.2333333333333325</v>
      </c>
      <c r="K2" s="13">
        <f>IF(AND(C2 &lt;&gt; "", D2 &lt;&gt; ""), (SUM(D2 - C2) * 1440), " - ")</f>
        <v>52.000000000000057</v>
      </c>
      <c r="L2" s="14">
        <f>IF(AND((B2 &lt;&gt; ""), (C2 &lt;&gt; ""), (D2 &lt;&gt; ""), (E2 &lt;&gt; "")), IF((((8 - J2) * 60) + 1) &gt; 0, (((8 - J2) * 60) + 1), (((8 - J2) * 60) - 1)), "-")</f>
        <v>-14.99999999999995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(29th)</v>
      </c>
      <c r="B3" s="8">
        <v>0.28819444444444442</v>
      </c>
      <c r="C3" s="8">
        <v>0.51597222222222228</v>
      </c>
      <c r="D3" s="8">
        <v>0.54583333333333328</v>
      </c>
      <c r="E3" s="8">
        <v>0.66666666666666663</v>
      </c>
      <c r="F3" s="30">
        <f t="shared" ref="F3:F6" si="0">IF(G3 &gt;= 8, 4 + COUNT(B3:E3), IF(AND(G3 &gt;= 4, G3 &lt;= 7), 2 + COUNT(B3:E3), COUNT(B3:E3)))</f>
        <v>4</v>
      </c>
      <c r="G3" s="28"/>
      <c r="H3" s="10">
        <f>SUM(C3 - B3) * 24</f>
        <v>5.4666666666666686</v>
      </c>
      <c r="I3" s="11">
        <f>SUM(E3 - D3) * 24</f>
        <v>2.9000000000000004</v>
      </c>
      <c r="J3" s="12">
        <f t="shared" ref="J3:J6" si="1">H3 + I3 + G3</f>
        <v>8.3666666666666689</v>
      </c>
      <c r="K3" s="13">
        <f>IF(AND(C3 &lt;&gt; "", D3 &lt;&gt; ""), (SUM(D3 - C3) * 1440), " - ")</f>
        <v>42.999999999999844</v>
      </c>
      <c r="L3" s="14">
        <f>IF(AND((B3 &lt;&gt; ""), (C3 &lt;&gt; ""), (D3 &lt;&gt; ""), (E3 &lt;&gt; "")), IF((((8 - J3) * 60) + 1) &gt; 0, (((8 - J3) * 60) + 1), (((8 - J3) * 60) - 1)), "-")</f>
        <v>-23.000000000000135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(30th)</v>
      </c>
      <c r="B4" s="8">
        <v>0.28819444444444442</v>
      </c>
      <c r="C4" s="8">
        <v>0.54861111111111116</v>
      </c>
      <c r="D4" s="8">
        <v>0.5805555555555556</v>
      </c>
      <c r="E4" s="8">
        <v>0.66736111111111107</v>
      </c>
      <c r="F4" s="30">
        <f>IF(G4 &gt;= 8, 4 + COUNT(B4:E4), IF(AND(G4 &gt;= 4, G4 &lt;= 7), 2 + COUNT(B4:E4), COUNT(B4:E4)))</f>
        <v>4</v>
      </c>
      <c r="G4" s="28"/>
      <c r="H4" s="10">
        <f t="shared" ref="H4:H5" si="2">SUM(C4 - B4) * 24</f>
        <v>6.2500000000000018</v>
      </c>
      <c r="I4" s="11">
        <f t="shared" ref="I4:I6" si="3">SUM(E4 - D4) * 24</f>
        <v>2.0833333333333313</v>
      </c>
      <c r="J4" s="12">
        <f t="shared" si="1"/>
        <v>8.3333333333333321</v>
      </c>
      <c r="K4" s="13">
        <f t="shared" ref="K4:K6" si="4">IF(AND(C4 &lt;&gt; "", D4 &lt;&gt; ""), (SUM(D4 - C4) * 1440), " - ")</f>
        <v>46</v>
      </c>
      <c r="L4" s="14">
        <f t="shared" ref="L4:L5" si="5">IF(AND((B4 &lt;&gt; ""), (C4 &lt;&gt; ""), (D4 &lt;&gt; ""), (E4 &lt;&gt; "")), IF((((8 - J4) * 60) + 1) &gt; 0, (((8 - J4) * 60) + 1), (((8 - J4) * 60) - 1)), "-")</f>
        <v>-20.999999999999929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(1st)</v>
      </c>
      <c r="B5" s="8">
        <v>0.28819444444444442</v>
      </c>
      <c r="C5" s="8">
        <v>0.50347222222222221</v>
      </c>
      <c r="D5" s="8">
        <v>0.53333333333333333</v>
      </c>
      <c r="E5" s="8">
        <v>0.66666666666666663</v>
      </c>
      <c r="F5" s="30">
        <f t="shared" si="0"/>
        <v>4</v>
      </c>
      <c r="G5" s="28"/>
      <c r="H5" s="10">
        <f t="shared" si="2"/>
        <v>5.166666666666667</v>
      </c>
      <c r="I5" s="11">
        <f t="shared" si="3"/>
        <v>3.1999999999999993</v>
      </c>
      <c r="J5" s="12">
        <f t="shared" si="1"/>
        <v>8.3666666666666671</v>
      </c>
      <c r="K5" s="13">
        <f t="shared" si="4"/>
        <v>43.000000000000007</v>
      </c>
      <c r="L5" s="14">
        <f t="shared" si="5"/>
        <v>-23.000000000000028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(2nd)</v>
      </c>
      <c r="B6" s="8">
        <v>0.375</v>
      </c>
      <c r="C6" s="27"/>
      <c r="D6" s="27"/>
      <c r="E6" s="8">
        <v>0.54166666666666663</v>
      </c>
      <c r="F6" s="30">
        <f t="shared" si="0"/>
        <v>4</v>
      </c>
      <c r="G6" s="10">
        <v>4</v>
      </c>
      <c r="H6" s="10">
        <f>SUM(C6 - B6) * 24</f>
        <v>-9</v>
      </c>
      <c r="I6" s="11">
        <f t="shared" si="3"/>
        <v>13</v>
      </c>
      <c r="J6" s="12">
        <f t="shared" si="1"/>
        <v>8</v>
      </c>
      <c r="K6" s="13" t="str">
        <f t="shared" si="4"/>
        <v xml:space="preserve"> - </v>
      </c>
      <c r="L6" s="14" t="str">
        <f>IF(AND((B6 &lt;&gt; ""), (C6 &lt;&gt; ""), (D6 &lt;&gt; ""), (E6 &lt;&gt; "")), IF((((8 - J6) * 60) + 1) &gt; 0, (((8 - J6) * 60) + 1), (((8 - J6) * 60) - 1)), "-")</f>
        <v>-</v>
      </c>
    </row>
    <row r="7" spans="1:13" ht="36.75" thickBot="1" x14ac:dyDescent="0.6">
      <c r="B7" s="19"/>
      <c r="I7" s="21" t="s">
        <v>10</v>
      </c>
      <c r="J7" s="22">
        <f>SUM(J2:J6)</f>
        <v>41.3</v>
      </c>
      <c r="K7" s="25">
        <f>IF(SUM(K2:K6) &lt;&gt; 0, ((60*5) - SUM(K2:K6)) / 60, 0)</f>
        <v>1.9333333333333351</v>
      </c>
      <c r="L7" s="34">
        <f>IF(SUM(L2:L6) &lt;&gt; 0, (SUM(L2:L6)/ 60), 0) * -1</f>
        <v>1.3666666666666674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-1.2999999999999972</v>
      </c>
      <c r="K9" s="26"/>
    </row>
    <row r="10" spans="1:13" ht="24" thickBot="1" x14ac:dyDescent="0.4">
      <c r="I10" s="32" t="s">
        <v>21</v>
      </c>
      <c r="J10" s="25">
        <f>IF(J7 &lt; 40, "-", J7-40)</f>
        <v>1.2999999999999972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398" priority="3" operator="greaterThan">
      <formula>3</formula>
    </cfRule>
    <cfRule type="cellIs" dxfId="397" priority="4" operator="lessThan">
      <formula>4</formula>
    </cfRule>
  </conditionalFormatting>
  <conditionalFormatting sqref="J2:J6">
    <cfRule type="cellIs" dxfId="396" priority="8" operator="greaterThan">
      <formula>7.99999999</formula>
    </cfRule>
    <cfRule type="cellIs" dxfId="395" priority="9" operator="lessThan">
      <formula>8</formula>
    </cfRule>
  </conditionalFormatting>
  <conditionalFormatting sqref="J7">
    <cfRule type="cellIs" dxfId="394" priority="10" operator="lessThan">
      <formula>40</formula>
    </cfRule>
    <cfRule type="cellIs" dxfId="393" priority="11" operator="greaterThan">
      <formula>39.999999</formula>
    </cfRule>
  </conditionalFormatting>
  <conditionalFormatting sqref="K7">
    <cfRule type="cellIs" dxfId="392" priority="1" operator="greaterThan">
      <formula>0</formula>
    </cfRule>
    <cfRule type="cellIs" dxfId="391" priority="2" operator="lessThan">
      <formula>0</formula>
    </cfRule>
  </conditionalFormatting>
  <conditionalFormatting sqref="L2:L6">
    <cfRule type="cellIs" dxfId="390" priority="5" operator="equal">
      <formula>"-"</formula>
    </cfRule>
    <cfRule type="cellIs" dxfId="389" priority="6" operator="greaterThan">
      <formula>0.1</formula>
    </cfRule>
    <cfRule type="cellIs" dxfId="388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7A34-8771-4EB9-93AD-612A5096895D}"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4.5703125" style="20" bestFit="1" customWidth="1"/>
    <col min="3" max="5" width="1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09/21/2026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(21st)</v>
      </c>
      <c r="B2" s="8">
        <v>0.28819444444444442</v>
      </c>
      <c r="C2" s="8">
        <v>0.52569444444444446</v>
      </c>
      <c r="D2" s="8">
        <v>0.55625000000000002</v>
      </c>
      <c r="E2" s="8">
        <v>0.66874999999999996</v>
      </c>
      <c r="F2" s="30">
        <f>IF(G2 &gt;= 8, 4 + COUNT(B2:E2), IF(AND(G2 &gt;= 4, G2 &lt;= 7), 2 + COUNT(B2:E2), COUNT(B2:E2)))</f>
        <v>4</v>
      </c>
      <c r="G2" s="28"/>
      <c r="H2" s="10">
        <f>SUM(C2 - B2) * 24</f>
        <v>5.7000000000000011</v>
      </c>
      <c r="I2" s="11">
        <f>SUM(E2 - D2) * 24</f>
        <v>2.6999999999999984</v>
      </c>
      <c r="J2" s="12">
        <f>H2 + I2 + G2</f>
        <v>8.3999999999999986</v>
      </c>
      <c r="K2" s="13">
        <f>IF(AND(C2 &lt;&gt; "", D2 &lt;&gt; ""), (SUM(D2 - C2) * 1440), " - ")</f>
        <v>44</v>
      </c>
      <c r="L2" s="14">
        <f>IF(AND((B2 &lt;&gt; ""), (C2 &lt;&gt; ""), (D2 &lt;&gt; ""), (E2 &lt;&gt; "")), IF((((8 - J2) * 60) + 1) &gt; 0, (((8 - J2) * 60) + 1), (((8 - J2) * 60) - 1)), "-")</f>
        <v>-24.999999999999915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(22nd)</v>
      </c>
      <c r="B3" s="8">
        <v>0.28819444444444442</v>
      </c>
      <c r="C3" s="8">
        <v>0.5625</v>
      </c>
      <c r="D3" s="8">
        <v>0.59444444444444444</v>
      </c>
      <c r="E3" s="8">
        <v>0.66666666666666663</v>
      </c>
      <c r="F3" s="30">
        <f t="shared" ref="F3:F6" si="0">IF(G3 &gt;= 8, 4 + COUNT(B3:E3), IF(AND(G3 &gt;= 4, G3 &lt;= 7), 2 + COUNT(B3:E3), COUNT(B3:E3)))</f>
        <v>4</v>
      </c>
      <c r="G3" s="28"/>
      <c r="H3" s="10">
        <f>SUM(C3 - B3) * 24</f>
        <v>6.5833333333333339</v>
      </c>
      <c r="I3" s="11">
        <f>SUM(E3 - D3) * 24</f>
        <v>1.7333333333333325</v>
      </c>
      <c r="J3" s="12">
        <f t="shared" ref="J3:J6" si="1">H3 + I3 + G3</f>
        <v>8.3166666666666664</v>
      </c>
      <c r="K3" s="13">
        <f>IF(AND(C3 &lt;&gt; "", D3 &lt;&gt; ""), (SUM(D3 - C3) * 1440), " - ")</f>
        <v>46</v>
      </c>
      <c r="L3" s="14">
        <f>IF(AND((B3 &lt;&gt; ""), (C3 &lt;&gt; ""), (D3 &lt;&gt; ""), (E3 &lt;&gt; "")), IF((((8 - J3) * 60) + 1) &gt; 0, (((8 - J3) * 60) + 1), (((8 - J3) * 60) - 1)), "-")</f>
        <v>-19.999999999999986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(23rd)</v>
      </c>
      <c r="B4" s="8">
        <v>0.28819444444444442</v>
      </c>
      <c r="C4" s="8">
        <v>0.58194444444444449</v>
      </c>
      <c r="D4" s="8">
        <v>0.61319444444444449</v>
      </c>
      <c r="E4" s="8">
        <v>0.66666666666666663</v>
      </c>
      <c r="F4" s="30">
        <f>IF(G4 &gt;= 8, 4 + COUNT(B4:E4), IF(AND(G4 &gt;= 4, G4 &lt;= 7), 2 + COUNT(B4:E4), COUNT(B4:E4)))</f>
        <v>4</v>
      </c>
      <c r="G4" s="28"/>
      <c r="H4" s="10">
        <f t="shared" ref="H4:H5" si="2">SUM(C4 - B4) * 24</f>
        <v>7.0500000000000016</v>
      </c>
      <c r="I4" s="11">
        <f t="shared" ref="I4:I6" si="3">SUM(E4 - D4) * 24</f>
        <v>1.2833333333333314</v>
      </c>
      <c r="J4" s="12">
        <f t="shared" si="1"/>
        <v>8.3333333333333321</v>
      </c>
      <c r="K4" s="13">
        <f t="shared" ref="K4:K6" si="4">IF(AND(C4 &lt;&gt; "", D4 &lt;&gt; ""), (SUM(D4 - C4) * 1440), " - ")</f>
        <v>45</v>
      </c>
      <c r="L4" s="14">
        <f t="shared" ref="L4:L5" si="5">IF(AND((B4 &lt;&gt; ""), (C4 &lt;&gt; ""), (D4 &lt;&gt; ""), (E4 &lt;&gt; "")), IF((((8 - J4) * 60) + 1) &gt; 0, (((8 - J4) * 60) + 1), (((8 - J4) * 60) - 1)), "-")</f>
        <v>-20.999999999999929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(24th)</v>
      </c>
      <c r="B5" s="8">
        <v>0.375</v>
      </c>
      <c r="C5" s="27"/>
      <c r="D5" s="27"/>
      <c r="E5" s="8">
        <v>0.54166666666666663</v>
      </c>
      <c r="F5" s="30">
        <f t="shared" si="0"/>
        <v>4</v>
      </c>
      <c r="G5" s="28">
        <v>4</v>
      </c>
      <c r="H5" s="10">
        <f t="shared" si="2"/>
        <v>-9</v>
      </c>
      <c r="I5" s="11">
        <f t="shared" si="3"/>
        <v>13</v>
      </c>
      <c r="J5" s="12">
        <f t="shared" si="1"/>
        <v>8</v>
      </c>
      <c r="K5" s="13" t="str">
        <f t="shared" si="4"/>
        <v xml:space="preserve"> - </v>
      </c>
      <c r="L5" s="14" t="str">
        <f t="shared" si="5"/>
        <v>-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(25th)</v>
      </c>
      <c r="B6" s="8">
        <v>0.28819444444444442</v>
      </c>
      <c r="C6" s="8">
        <v>0.50972222222222219</v>
      </c>
      <c r="D6" s="8">
        <v>0.54166666666666663</v>
      </c>
      <c r="E6" s="8">
        <v>0.66666666666666663</v>
      </c>
      <c r="F6" s="30">
        <f t="shared" si="0"/>
        <v>4</v>
      </c>
      <c r="G6" s="10"/>
      <c r="H6" s="10">
        <f>SUM(C6 - B6) * 24</f>
        <v>5.3166666666666664</v>
      </c>
      <c r="I6" s="11">
        <f t="shared" si="3"/>
        <v>3</v>
      </c>
      <c r="J6" s="12">
        <f t="shared" si="1"/>
        <v>8.3166666666666664</v>
      </c>
      <c r="K6" s="13">
        <f t="shared" si="4"/>
        <v>46</v>
      </c>
      <c r="L6" s="14">
        <f>IF(AND((B6 &lt;&gt; ""), (C6 &lt;&gt; ""), (D6 &lt;&gt; ""), (E6 &lt;&gt; "")), IF((((8 - J6) * 60) + 1) &gt; 0, (((8 - J6) * 60) + 1), (((8 - J6) * 60) - 1)), "-")</f>
        <v>-19.999999999999986</v>
      </c>
    </row>
    <row r="7" spans="1:13" ht="36.75" thickBot="1" x14ac:dyDescent="0.6">
      <c r="B7" s="19"/>
      <c r="I7" s="21" t="s">
        <v>10</v>
      </c>
      <c r="J7" s="22">
        <f>SUM(J2:J6)</f>
        <v>41.36666666666666</v>
      </c>
      <c r="K7" s="25">
        <f>IF(SUM(K2:K6) &lt;&gt; 0, ((60*5) - SUM(K2:K6)) / 60, 0)</f>
        <v>1.9833333333333334</v>
      </c>
      <c r="L7" s="34">
        <f>IF(SUM(L2:L6) &lt;&gt; 0, (SUM(L2:L6)/ 60), 0) * -1</f>
        <v>1.4333333333333302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-1.36666666666666</v>
      </c>
      <c r="K9" s="26"/>
    </row>
    <row r="10" spans="1:13" ht="24" thickBot="1" x14ac:dyDescent="0.4">
      <c r="I10" s="32" t="s">
        <v>21</v>
      </c>
      <c r="J10" s="25">
        <f>IF(J7 &lt; 40, "-", J7-40)</f>
        <v>1.36666666666666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387" priority="3" operator="greaterThan">
      <formula>3</formula>
    </cfRule>
    <cfRule type="cellIs" dxfId="386" priority="4" operator="lessThan">
      <formula>4</formula>
    </cfRule>
  </conditionalFormatting>
  <conditionalFormatting sqref="J2:J6">
    <cfRule type="cellIs" dxfId="385" priority="8" operator="greaterThan">
      <formula>7.99999999</formula>
    </cfRule>
    <cfRule type="cellIs" dxfId="384" priority="9" operator="lessThan">
      <formula>8</formula>
    </cfRule>
  </conditionalFormatting>
  <conditionalFormatting sqref="J7">
    <cfRule type="cellIs" dxfId="383" priority="10" operator="lessThan">
      <formula>40</formula>
    </cfRule>
    <cfRule type="cellIs" dxfId="382" priority="11" operator="greaterThan">
      <formula>39.999999</formula>
    </cfRule>
  </conditionalFormatting>
  <conditionalFormatting sqref="K7">
    <cfRule type="cellIs" dxfId="381" priority="1" operator="greaterThan">
      <formula>0</formula>
    </cfRule>
    <cfRule type="cellIs" dxfId="380" priority="2" operator="lessThan">
      <formula>0</formula>
    </cfRule>
  </conditionalFormatting>
  <conditionalFormatting sqref="L2:L6">
    <cfRule type="cellIs" dxfId="379" priority="5" operator="equal">
      <formula>"-"</formula>
    </cfRule>
    <cfRule type="cellIs" dxfId="378" priority="6" operator="greaterThan">
      <formula>0.1</formula>
    </cfRule>
    <cfRule type="cellIs" dxfId="377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D2493-FA26-4C6B-B29B-2869ADDFFA07}"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4.5703125" style="20" bestFit="1" customWidth="1"/>
    <col min="3" max="5" width="1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09/14/2026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(14th)</v>
      </c>
      <c r="B2" s="8">
        <v>0.28819444444444442</v>
      </c>
      <c r="C2" s="8">
        <v>0.51180555555555551</v>
      </c>
      <c r="D2" s="8">
        <v>0.54236111111111107</v>
      </c>
      <c r="E2" s="8">
        <v>0.66666666666666663</v>
      </c>
      <c r="F2" s="30">
        <f>IF(G2 &gt;= 8, 4 + COUNT(B2:E2), IF(AND(G2 &gt;= 4, G2 &lt;= 7), 2 + COUNT(B2:E2), COUNT(B2:E2)))</f>
        <v>4</v>
      </c>
      <c r="G2" s="28"/>
      <c r="H2" s="10">
        <f>SUM(C2 - B2) * 24</f>
        <v>5.3666666666666663</v>
      </c>
      <c r="I2" s="11">
        <f>SUM(E2 - D2) * 24</f>
        <v>2.9833333333333334</v>
      </c>
      <c r="J2" s="12">
        <f>H2 + I2 + G2</f>
        <v>8.35</v>
      </c>
      <c r="K2" s="13">
        <f>IF(AND(C2 &lt;&gt; "", D2 &lt;&gt; ""), (SUM(D2 - C2) * 1440), " - ")</f>
        <v>44</v>
      </c>
      <c r="L2" s="14">
        <f>IF(AND((B2 &lt;&gt; ""), (C2 &lt;&gt; ""), (D2 &lt;&gt; ""), (E2 &lt;&gt; "")), IF((((8 - J2) * 60) + 1) &gt; 0, (((8 - J2) * 60) + 1), (((8 - J2) * 60) - 1)), "-")</f>
        <v>-21.999999999999979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(15th)</v>
      </c>
      <c r="B3" s="8">
        <v>0.28819444444444442</v>
      </c>
      <c r="C3" s="8">
        <v>0.5756944444444444</v>
      </c>
      <c r="D3" s="8">
        <v>0.60486111111111107</v>
      </c>
      <c r="E3" s="8">
        <v>0.66666666666666663</v>
      </c>
      <c r="F3" s="30">
        <f t="shared" ref="F3:F6" si="0">IF(G3 &gt;= 8, 4 + COUNT(B3:E3), IF(AND(G3 &gt;= 4, G3 &lt;= 7), 2 + COUNT(B3:E3), COUNT(B3:E3)))</f>
        <v>4</v>
      </c>
      <c r="G3" s="28"/>
      <c r="H3" s="10">
        <f>SUM(C3 - B3) * 24</f>
        <v>6.8999999999999995</v>
      </c>
      <c r="I3" s="11">
        <f>SUM(E3 - D3) * 24</f>
        <v>1.4833333333333334</v>
      </c>
      <c r="J3" s="12">
        <f t="shared" ref="J3:J6" si="1">H3 + I3 + G3</f>
        <v>8.3833333333333329</v>
      </c>
      <c r="K3" s="13">
        <f>IF(AND(C3 &lt;&gt; "", D3 &lt;&gt; ""), (SUM(D3 - C3) * 1440), " - ")</f>
        <v>42.000000000000014</v>
      </c>
      <c r="L3" s="14">
        <f>IF(AND((B3 &lt;&gt; ""), (C3 &lt;&gt; ""), (D3 &lt;&gt; ""), (E3 &lt;&gt; "")), IF((((8 - J3) * 60) + 1) &gt; 0, (((8 - J3) * 60) + 1), (((8 - J3) * 60) - 1)), "-")</f>
        <v>-23.999999999999972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(16th)</v>
      </c>
      <c r="B4" s="8">
        <v>0.28819444444444442</v>
      </c>
      <c r="C4" s="8">
        <v>0.54722222222222228</v>
      </c>
      <c r="D4" s="8">
        <v>0.58333333333333337</v>
      </c>
      <c r="E4" s="8">
        <v>0.66666666666666663</v>
      </c>
      <c r="F4" s="30">
        <f>IF(G4 &gt;= 8, 4 + COUNT(B4:E4), IF(AND(G4 &gt;= 4, G4 &lt;= 7), 2 + COUNT(B4:E4), COUNT(B4:E4)))</f>
        <v>4</v>
      </c>
      <c r="G4" s="28"/>
      <c r="H4" s="10">
        <f t="shared" ref="H4:H5" si="2">SUM(C4 - B4) * 24</f>
        <v>6.2166666666666686</v>
      </c>
      <c r="I4" s="11">
        <f t="shared" ref="I4:I6" si="3">SUM(E4 - D4) * 24</f>
        <v>1.9999999999999982</v>
      </c>
      <c r="J4" s="12">
        <f t="shared" si="1"/>
        <v>8.2166666666666668</v>
      </c>
      <c r="K4" s="13">
        <f t="shared" ref="K4:K6" si="4">IF(AND(C4 &lt;&gt; "", D4 &lt;&gt; ""), (SUM(D4 - C4) * 1440), " - ")</f>
        <v>51.999999999999972</v>
      </c>
      <c r="L4" s="14">
        <f t="shared" ref="L4:L5" si="5">IF(AND((B4 &lt;&gt; ""), (C4 &lt;&gt; ""), (D4 &lt;&gt; ""), (E4 &lt;&gt; "")), IF((((8 - J4) * 60) + 1) &gt; 0, (((8 - J4) * 60) + 1), (((8 - J4) * 60) - 1)), "-")</f>
        <v>-14.000000000000007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(17th)</v>
      </c>
      <c r="B5" s="8">
        <v>0.28819444444444442</v>
      </c>
      <c r="C5" s="8">
        <v>0.4861111111111111</v>
      </c>
      <c r="D5" s="8">
        <v>0.51597222222222228</v>
      </c>
      <c r="E5" s="8">
        <v>0.66666666666666663</v>
      </c>
      <c r="F5" s="30">
        <f t="shared" si="0"/>
        <v>4</v>
      </c>
      <c r="G5" s="28"/>
      <c r="H5" s="10">
        <f t="shared" si="2"/>
        <v>4.75</v>
      </c>
      <c r="I5" s="11">
        <f t="shared" si="3"/>
        <v>3.6166666666666645</v>
      </c>
      <c r="J5" s="12">
        <f t="shared" si="1"/>
        <v>8.3666666666666636</v>
      </c>
      <c r="K5" s="13">
        <f t="shared" si="4"/>
        <v>43.000000000000085</v>
      </c>
      <c r="L5" s="14">
        <f t="shared" si="5"/>
        <v>-22.999999999999815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(18th)</v>
      </c>
      <c r="B6" s="8">
        <v>0.28819444444444442</v>
      </c>
      <c r="C6" s="8">
        <v>0.5</v>
      </c>
      <c r="D6" s="8">
        <v>0.53402777777777777</v>
      </c>
      <c r="E6" s="8">
        <v>0.66666666666666663</v>
      </c>
      <c r="F6" s="30">
        <f t="shared" si="0"/>
        <v>4</v>
      </c>
      <c r="G6" s="10"/>
      <c r="H6" s="10">
        <f>SUM(C6 - B6) * 24</f>
        <v>5.0833333333333339</v>
      </c>
      <c r="I6" s="11">
        <f t="shared" si="3"/>
        <v>3.1833333333333327</v>
      </c>
      <c r="J6" s="12">
        <f t="shared" si="1"/>
        <v>8.2666666666666657</v>
      </c>
      <c r="K6" s="13">
        <f t="shared" si="4"/>
        <v>48.999999999999986</v>
      </c>
      <c r="L6" s="14">
        <f>IF(AND((B6 &lt;&gt; ""), (C6 &lt;&gt; ""), (D6 &lt;&gt; ""), (E6 &lt;&gt; "")), IF((((8 - J6) * 60) + 1) &gt; 0, (((8 - J6) * 60) + 1), (((8 - J6) * 60) - 1)), "-")</f>
        <v>-16.999999999999943</v>
      </c>
    </row>
    <row r="7" spans="1:13" ht="36.75" thickBot="1" x14ac:dyDescent="0.6">
      <c r="B7" s="19"/>
      <c r="I7" s="21" t="s">
        <v>10</v>
      </c>
      <c r="J7" s="22">
        <f>SUM(J2:J6)</f>
        <v>41.583333333333329</v>
      </c>
      <c r="K7" s="25">
        <f>IF(SUM(K2:K6) &lt;&gt; 0, ((60*5) - SUM(K2:K6)) / 60, 0)</f>
        <v>1.1666666666666656</v>
      </c>
      <c r="L7" s="34">
        <f>IF(SUM(L2:L6) &lt;&gt; 0, (SUM(L2:L6)/ 60), 0) * -1</f>
        <v>1.6666666666666619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-1.5833333333333286</v>
      </c>
      <c r="K9" s="26"/>
    </row>
    <row r="10" spans="1:13" ht="24" thickBot="1" x14ac:dyDescent="0.4">
      <c r="I10" s="32" t="s">
        <v>21</v>
      </c>
      <c r="J10" s="25">
        <f>IF(J7 &lt; 40, "-", J7-40)</f>
        <v>1.5833333333333286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376" priority="3" operator="greaterThan">
      <formula>3</formula>
    </cfRule>
    <cfRule type="cellIs" dxfId="375" priority="4" operator="lessThan">
      <formula>4</formula>
    </cfRule>
  </conditionalFormatting>
  <conditionalFormatting sqref="J2:J6">
    <cfRule type="cellIs" dxfId="374" priority="8" operator="greaterThan">
      <formula>7.99999999</formula>
    </cfRule>
    <cfRule type="cellIs" dxfId="373" priority="9" operator="lessThan">
      <formula>8</formula>
    </cfRule>
  </conditionalFormatting>
  <conditionalFormatting sqref="J7">
    <cfRule type="cellIs" dxfId="372" priority="10" operator="lessThan">
      <formula>40</formula>
    </cfRule>
    <cfRule type="cellIs" dxfId="371" priority="11" operator="greaterThan">
      <formula>39.999999</formula>
    </cfRule>
  </conditionalFormatting>
  <conditionalFormatting sqref="K7">
    <cfRule type="cellIs" dxfId="370" priority="1" operator="greaterThan">
      <formula>0</formula>
    </cfRule>
    <cfRule type="cellIs" dxfId="369" priority="2" operator="lessThan">
      <formula>0</formula>
    </cfRule>
  </conditionalFormatting>
  <conditionalFormatting sqref="L2:L6">
    <cfRule type="cellIs" dxfId="368" priority="5" operator="equal">
      <formula>"-"</formula>
    </cfRule>
    <cfRule type="cellIs" dxfId="367" priority="6" operator="greaterThan">
      <formula>0.1</formula>
    </cfRule>
    <cfRule type="cellIs" dxfId="366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E4F4-4177-4ECC-BBBB-6DD7A08CB273}"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4.5703125" style="20" bestFit="1" customWidth="1"/>
    <col min="3" max="5" width="1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09/07/2026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(7th)</v>
      </c>
      <c r="B2" s="27"/>
      <c r="C2" s="27"/>
      <c r="D2" s="27"/>
      <c r="E2" s="27"/>
      <c r="F2" s="30">
        <f>IF(G2 &gt;= 8, 4 + COUNT(B2:E2), IF(AND(G2 &gt;= 4, G2 &lt;= 7), 2 + COUNT(B2:E2), COUNT(B2:E2)))</f>
        <v>4</v>
      </c>
      <c r="G2" s="28">
        <v>8</v>
      </c>
      <c r="H2" s="10">
        <f>SUM(C2 - B2) * 24</f>
        <v>0</v>
      </c>
      <c r="I2" s="11">
        <f>SUM(E2 - D2) * 24</f>
        <v>0</v>
      </c>
      <c r="J2" s="12">
        <f>H2 + I2 + G2</f>
        <v>8</v>
      </c>
      <c r="K2" s="13" t="str">
        <f>IF(AND(C2 &lt;&gt; "", D2 &lt;&gt; ""), (SUM(D2 - C2) * 1440), " - ")</f>
        <v xml:space="preserve"> - </v>
      </c>
      <c r="L2" s="14" t="str">
        <f>IF(AND((B2 &lt;&gt; ""), (C2 &lt;&gt; ""), (D2 &lt;&gt; ""), (E2 &lt;&gt; "")), IF((((8 - J2) * 60) + 1) &gt; 0, (((8 - J2) * 60) + 1), (((8 - J2) * 60) - 1)), "-")</f>
        <v>-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(8th)</v>
      </c>
      <c r="B3" s="8">
        <v>0.28819444444444442</v>
      </c>
      <c r="C3" s="8">
        <v>0.52083333333333337</v>
      </c>
      <c r="D3" s="8">
        <v>0.5541666666666667</v>
      </c>
      <c r="E3" s="8">
        <v>0.66666666666666663</v>
      </c>
      <c r="F3" s="30">
        <f t="shared" ref="F3:F6" si="0">IF(G3 &gt;= 8, 4 + COUNT(B3:E3), IF(AND(G3 &gt;= 4, G3 &lt;= 7), 2 + COUNT(B3:E3), COUNT(B3:E3)))</f>
        <v>4</v>
      </c>
      <c r="G3" s="28"/>
      <c r="H3" s="10">
        <f>SUM(C3 - B3) * 24</f>
        <v>5.5833333333333348</v>
      </c>
      <c r="I3" s="11">
        <f>SUM(E3 - D3) * 24</f>
        <v>2.6999999999999984</v>
      </c>
      <c r="J3" s="12">
        <f t="shared" ref="J3:J6" si="1">H3 + I3 + G3</f>
        <v>8.2833333333333332</v>
      </c>
      <c r="K3" s="13">
        <f>IF(AND(C3 &lt;&gt; "", D3 &lt;&gt; ""), (SUM(D3 - C3) * 1440), " - ")</f>
        <v>47.999999999999986</v>
      </c>
      <c r="L3" s="14">
        <f>IF(AND((B3 &lt;&gt; ""), (C3 &lt;&gt; ""), (D3 &lt;&gt; ""), (E3 &lt;&gt; "")), IF((((8 - J3) * 60) + 1) &gt; 0, (((8 - J3) * 60) + 1), (((8 - J3) * 60) - 1)), "-")</f>
        <v>-17.999999999999993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(9th)</v>
      </c>
      <c r="B4" s="8">
        <v>0.28819444444444442</v>
      </c>
      <c r="C4" s="8">
        <v>0.50416666666666665</v>
      </c>
      <c r="D4" s="8">
        <v>0.53541666666666665</v>
      </c>
      <c r="E4" s="8">
        <v>0.66666666666666663</v>
      </c>
      <c r="F4" s="30">
        <f>IF(G4 &gt;= 8, 4 + COUNT(B4:E4), IF(AND(G4 &gt;= 4, G4 &lt;= 7), 2 + COUNT(B4:E4), COUNT(B4:E4)))</f>
        <v>4</v>
      </c>
      <c r="G4" s="28"/>
      <c r="H4" s="10">
        <f t="shared" ref="H4:H5" si="2">SUM(C4 - B4) * 24</f>
        <v>5.1833333333333336</v>
      </c>
      <c r="I4" s="11">
        <f t="shared" ref="I4:I6" si="3">SUM(E4 - D4) * 24</f>
        <v>3.1499999999999995</v>
      </c>
      <c r="J4" s="12">
        <f t="shared" si="1"/>
        <v>8.3333333333333321</v>
      </c>
      <c r="K4" s="13">
        <f t="shared" ref="K4:K6" si="4">IF(AND(C4 &lt;&gt; "", D4 &lt;&gt; ""), (SUM(D4 - C4) * 1440), " - ")</f>
        <v>45</v>
      </c>
      <c r="L4" s="14">
        <f t="shared" ref="L4:L5" si="5">IF(AND((B4 &lt;&gt; ""), (C4 &lt;&gt; ""), (D4 &lt;&gt; ""), (E4 &lt;&gt; "")), IF((((8 - J4) * 60) + 1) &gt; 0, (((8 - J4) * 60) + 1), (((8 - J4) * 60) - 1)), "-")</f>
        <v>-20.999999999999929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(10th)</v>
      </c>
      <c r="B5" s="27"/>
      <c r="C5" s="27"/>
      <c r="D5" s="27"/>
      <c r="E5" s="27"/>
      <c r="F5" s="30">
        <f t="shared" si="0"/>
        <v>4</v>
      </c>
      <c r="G5" s="28">
        <v>8</v>
      </c>
      <c r="H5" s="10">
        <f t="shared" si="2"/>
        <v>0</v>
      </c>
      <c r="I5" s="11">
        <f t="shared" si="3"/>
        <v>0</v>
      </c>
      <c r="J5" s="12">
        <f t="shared" si="1"/>
        <v>8</v>
      </c>
      <c r="K5" s="13" t="str">
        <f t="shared" si="4"/>
        <v xml:space="preserve"> - </v>
      </c>
      <c r="L5" s="14" t="str">
        <f t="shared" si="5"/>
        <v>-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(11th)</v>
      </c>
      <c r="B6" s="8">
        <v>0.28819444444444442</v>
      </c>
      <c r="C6" s="8">
        <v>0.50486111111111109</v>
      </c>
      <c r="D6" s="8">
        <v>0.53472222222222221</v>
      </c>
      <c r="E6" s="8">
        <v>0.66666666666666663</v>
      </c>
      <c r="F6" s="30">
        <f t="shared" si="0"/>
        <v>4</v>
      </c>
      <c r="G6" s="10"/>
      <c r="H6" s="10">
        <f>SUM(C6 - B6) * 24</f>
        <v>5.2</v>
      </c>
      <c r="I6" s="11">
        <f t="shared" si="3"/>
        <v>3.1666666666666661</v>
      </c>
      <c r="J6" s="12">
        <f t="shared" si="1"/>
        <v>8.3666666666666671</v>
      </c>
      <c r="K6" s="13">
        <f t="shared" si="4"/>
        <v>43.000000000000007</v>
      </c>
      <c r="L6" s="14">
        <f>IF(AND((B6 &lt;&gt; ""), (C6 &lt;&gt; ""), (D6 &lt;&gt; ""), (E6 &lt;&gt; "")), IF((((8 - J6) * 60) + 1) &gt; 0, (((8 - J6) * 60) + 1), (((8 - J6) * 60) - 1)), "-")</f>
        <v>-23.000000000000028</v>
      </c>
    </row>
    <row r="7" spans="1:13" ht="36.75" thickBot="1" x14ac:dyDescent="0.6">
      <c r="B7" s="19"/>
      <c r="I7" s="21" t="s">
        <v>10</v>
      </c>
      <c r="J7" s="22">
        <f>SUM(J2:J6)</f>
        <v>40.983333333333327</v>
      </c>
      <c r="K7" s="25">
        <f>IF(SUM(K2:K6) &lt;&gt; 0, ((60*5) - SUM(K2:K6)) / 60, 0)</f>
        <v>2.7333333333333334</v>
      </c>
      <c r="L7" s="34">
        <f>IF(SUM(L2:L6) &lt;&gt; 0, (SUM(L2:L6)/ 60), 0) * -1</f>
        <v>1.0333333333333325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-0.98333333333332718</v>
      </c>
      <c r="K9" s="26"/>
    </row>
    <row r="10" spans="1:13" ht="24" thickBot="1" x14ac:dyDescent="0.4">
      <c r="I10" s="32" t="s">
        <v>21</v>
      </c>
      <c r="J10" s="25">
        <f>IF(J7 &lt; 40, "-", J7-40)</f>
        <v>0.98333333333332718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365" priority="3" operator="greaterThan">
      <formula>3</formula>
    </cfRule>
    <cfRule type="cellIs" dxfId="364" priority="4" operator="lessThan">
      <formula>4</formula>
    </cfRule>
  </conditionalFormatting>
  <conditionalFormatting sqref="J2:J6">
    <cfRule type="cellIs" dxfId="363" priority="8" operator="greaterThan">
      <formula>7.99999999</formula>
    </cfRule>
    <cfRule type="cellIs" dxfId="362" priority="9" operator="lessThan">
      <formula>8</formula>
    </cfRule>
  </conditionalFormatting>
  <conditionalFormatting sqref="J7">
    <cfRule type="cellIs" dxfId="361" priority="10" operator="lessThan">
      <formula>40</formula>
    </cfRule>
    <cfRule type="cellIs" dxfId="360" priority="11" operator="greaterThan">
      <formula>39.999999</formula>
    </cfRule>
  </conditionalFormatting>
  <conditionalFormatting sqref="K7">
    <cfRule type="cellIs" dxfId="359" priority="1" operator="greaterThan">
      <formula>0</formula>
    </cfRule>
    <cfRule type="cellIs" dxfId="358" priority="2" operator="lessThan">
      <formula>0</formula>
    </cfRule>
  </conditionalFormatting>
  <conditionalFormatting sqref="L2:L6">
    <cfRule type="cellIs" dxfId="357" priority="5" operator="equal">
      <formula>"-"</formula>
    </cfRule>
    <cfRule type="cellIs" dxfId="356" priority="6" operator="greaterThan">
      <formula>0.1</formula>
    </cfRule>
    <cfRule type="cellIs" dxfId="355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5BB9-8062-4382-A731-FC67616139D4}"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4.5703125" style="20" bestFit="1" customWidth="1"/>
    <col min="3" max="5" width="1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08/31/2026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(31st)</v>
      </c>
      <c r="B2" s="8">
        <v>0.28819444444444442</v>
      </c>
      <c r="C2" s="8">
        <v>0.52708333333333335</v>
      </c>
      <c r="D2" s="8">
        <v>0.55694444444444446</v>
      </c>
      <c r="E2" s="8">
        <v>0.66666666666666663</v>
      </c>
      <c r="F2" s="30">
        <f>IF(G2 &gt;= 8, 4 + COUNT(B2:E2), IF(AND(G2 &gt;= 4, G2 &lt;= 7), 2 + COUNT(B2:E2), COUNT(B2:E2)))</f>
        <v>4</v>
      </c>
      <c r="G2" s="28"/>
      <c r="H2" s="10">
        <f>SUM(C2 - B2) * 24</f>
        <v>5.7333333333333343</v>
      </c>
      <c r="I2" s="11">
        <f>SUM(E2 - D2) * 24</f>
        <v>2.633333333333332</v>
      </c>
      <c r="J2" s="12">
        <f>H2 + I2 + G2</f>
        <v>8.3666666666666671</v>
      </c>
      <c r="K2" s="13">
        <f>IF(AND(C2 &lt;&gt; "", D2 &lt;&gt; ""), (SUM(D2 - C2) * 1440), " - ")</f>
        <v>43.000000000000007</v>
      </c>
      <c r="L2" s="14">
        <f>IF(AND((B2 &lt;&gt; ""), (C2 &lt;&gt; ""), (D2 &lt;&gt; ""), (E2 &lt;&gt; "")), IF((((8 - J2) * 60) + 1) &gt; 0, (((8 - J2) * 60) + 1), (((8 - J2) * 60) - 1)), "-")</f>
        <v>-23.000000000000028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(1st)</v>
      </c>
      <c r="B3" s="8">
        <v>0.28819444444444442</v>
      </c>
      <c r="C3" s="8">
        <v>0.54305555555555551</v>
      </c>
      <c r="D3" s="8">
        <v>0.57291666666666663</v>
      </c>
      <c r="E3" s="8">
        <v>0.66666666666666663</v>
      </c>
      <c r="F3" s="30">
        <f t="shared" ref="F3:F6" si="0">IF(G3 &gt;= 8, 4 + COUNT(B3:E3), IF(AND(G3 &gt;= 4, G3 &lt;= 7), 2 + COUNT(B3:E3), COUNT(B3:E3)))</f>
        <v>4</v>
      </c>
      <c r="G3" s="28"/>
      <c r="H3" s="10">
        <f>SUM(C3 - B3) * 24</f>
        <v>6.1166666666666663</v>
      </c>
      <c r="I3" s="11">
        <f>SUM(E3 - D3) * 24</f>
        <v>2.25</v>
      </c>
      <c r="J3" s="12">
        <f t="shared" ref="J3:J6" si="1">H3 + I3 + G3</f>
        <v>8.3666666666666671</v>
      </c>
      <c r="K3" s="13">
        <f>IF(AND(C3 &lt;&gt; "", D3 &lt;&gt; ""), (SUM(D3 - C3) * 1440), " - ")</f>
        <v>43.000000000000007</v>
      </c>
      <c r="L3" s="14">
        <f>IF(AND((B3 &lt;&gt; ""), (C3 &lt;&gt; ""), (D3 &lt;&gt; ""), (E3 &lt;&gt; "")), IF((((8 - J3) * 60) + 1) &gt; 0, (((8 - J3) * 60) + 1), (((8 - J3) * 60) - 1)), "-")</f>
        <v>-23.000000000000028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(2nd)</v>
      </c>
      <c r="B4" s="8">
        <v>0.28819444444444442</v>
      </c>
      <c r="C4" s="8">
        <v>0.51736111111111116</v>
      </c>
      <c r="D4" s="8">
        <v>0.54861111111111116</v>
      </c>
      <c r="E4" s="8">
        <v>0.66666666666666663</v>
      </c>
      <c r="F4" s="30">
        <f>IF(G4 &gt;= 8, 4 + COUNT(B4:E4), IF(AND(G4 &gt;= 4, G4 &lt;= 7), 2 + COUNT(B4:E4), COUNT(B4:E4)))</f>
        <v>4</v>
      </c>
      <c r="G4" s="28"/>
      <c r="H4" s="10">
        <f t="shared" ref="H4:H5" si="2">SUM(C4 - B4) * 24</f>
        <v>5.5000000000000018</v>
      </c>
      <c r="I4" s="11">
        <f t="shared" ref="I4:I6" si="3">SUM(E4 - D4) * 24</f>
        <v>2.8333333333333313</v>
      </c>
      <c r="J4" s="12">
        <f t="shared" si="1"/>
        <v>8.3333333333333321</v>
      </c>
      <c r="K4" s="13">
        <f t="shared" ref="K4:K6" si="4">IF(AND(C4 &lt;&gt; "", D4 &lt;&gt; ""), (SUM(D4 - C4) * 1440), " - ")</f>
        <v>45</v>
      </c>
      <c r="L4" s="14">
        <f t="shared" ref="L4:L5" si="5">IF(AND((B4 &lt;&gt; ""), (C4 &lt;&gt; ""), (D4 &lt;&gt; ""), (E4 &lt;&gt; "")), IF((((8 - J4) * 60) + 1) &gt; 0, (((8 - J4) * 60) + 1), (((8 - J4) * 60) - 1)), "-")</f>
        <v>-20.999999999999929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(3rd)</v>
      </c>
      <c r="B5" s="8">
        <v>0.28819444444444442</v>
      </c>
      <c r="C5" s="8">
        <v>0.52708333333333335</v>
      </c>
      <c r="D5" s="8">
        <v>0.55763888888888891</v>
      </c>
      <c r="E5" s="8">
        <v>0.66666666666666663</v>
      </c>
      <c r="F5" s="30">
        <f t="shared" si="0"/>
        <v>4</v>
      </c>
      <c r="G5" s="28"/>
      <c r="H5" s="10">
        <f t="shared" si="2"/>
        <v>5.7333333333333343</v>
      </c>
      <c r="I5" s="11">
        <f t="shared" si="3"/>
        <v>2.6166666666666654</v>
      </c>
      <c r="J5" s="12">
        <f t="shared" si="1"/>
        <v>8.35</v>
      </c>
      <c r="K5" s="13">
        <f t="shared" si="4"/>
        <v>44</v>
      </c>
      <c r="L5" s="14">
        <f t="shared" si="5"/>
        <v>-21.999999999999979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(4th)</v>
      </c>
      <c r="B6" s="8">
        <v>0.28819444444444442</v>
      </c>
      <c r="C6" s="27"/>
      <c r="D6" s="27"/>
      <c r="E6" s="8">
        <v>0.45833333333333331</v>
      </c>
      <c r="F6" s="30">
        <f t="shared" si="0"/>
        <v>4</v>
      </c>
      <c r="G6" s="10">
        <v>4</v>
      </c>
      <c r="H6" s="10">
        <f>SUM(C6 - B6) * 24</f>
        <v>-6.9166666666666661</v>
      </c>
      <c r="I6" s="11">
        <f t="shared" si="3"/>
        <v>11</v>
      </c>
      <c r="J6" s="12">
        <f t="shared" si="1"/>
        <v>8.0833333333333339</v>
      </c>
      <c r="K6" s="13" t="str">
        <f t="shared" si="4"/>
        <v xml:space="preserve"> - </v>
      </c>
      <c r="L6" s="14" t="str">
        <f>IF(AND((B6 &lt;&gt; ""), (C6 &lt;&gt; ""), (D6 &lt;&gt; ""), (E6 &lt;&gt; "")), IF((((8 - J6) * 60) + 1) &gt; 0, (((8 - J6) * 60) + 1), (((8 - J6) * 60) - 1)), "-")</f>
        <v>-</v>
      </c>
    </row>
    <row r="7" spans="1:13" ht="36.75" thickBot="1" x14ac:dyDescent="0.6">
      <c r="B7" s="19"/>
      <c r="I7" s="21" t="s">
        <v>10</v>
      </c>
      <c r="J7" s="22">
        <f>SUM(J2:J6)</f>
        <v>41.5</v>
      </c>
      <c r="K7" s="25">
        <f>IF(SUM(K2:K6) &lt;&gt; 0, ((60*5) - SUM(K2:K6)) / 60, 0)</f>
        <v>2.0833333333333335</v>
      </c>
      <c r="L7" s="34">
        <f>IF(SUM(L2:L6) &lt;&gt; 0, (SUM(L2:L6)/ 60), 0) * -1</f>
        <v>1.4833333333333329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-1.5</v>
      </c>
      <c r="K9" s="26"/>
    </row>
    <row r="10" spans="1:13" ht="24" thickBot="1" x14ac:dyDescent="0.4">
      <c r="I10" s="32" t="s">
        <v>21</v>
      </c>
      <c r="J10" s="25">
        <f>IF(J7 &lt; 40, "-", J7-40)</f>
        <v>1.5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354" priority="3" operator="greaterThan">
      <formula>3</formula>
    </cfRule>
    <cfRule type="cellIs" dxfId="353" priority="4" operator="lessThan">
      <formula>4</formula>
    </cfRule>
  </conditionalFormatting>
  <conditionalFormatting sqref="J2:J6">
    <cfRule type="cellIs" dxfId="352" priority="8" operator="greaterThan">
      <formula>7.99999999</formula>
    </cfRule>
    <cfRule type="cellIs" dxfId="351" priority="9" operator="lessThan">
      <formula>8</formula>
    </cfRule>
  </conditionalFormatting>
  <conditionalFormatting sqref="J7">
    <cfRule type="cellIs" dxfId="350" priority="10" operator="lessThan">
      <formula>40</formula>
    </cfRule>
    <cfRule type="cellIs" dxfId="349" priority="11" operator="greaterThan">
      <formula>39.999999</formula>
    </cfRule>
  </conditionalFormatting>
  <conditionalFormatting sqref="K7">
    <cfRule type="cellIs" dxfId="348" priority="1" operator="greaterThan">
      <formula>0</formula>
    </cfRule>
    <cfRule type="cellIs" dxfId="347" priority="2" operator="lessThan">
      <formula>0</formula>
    </cfRule>
  </conditionalFormatting>
  <conditionalFormatting sqref="L2:L6">
    <cfRule type="cellIs" dxfId="346" priority="5" operator="equal">
      <formula>"-"</formula>
    </cfRule>
    <cfRule type="cellIs" dxfId="345" priority="6" operator="greaterThan">
      <formula>0.1</formula>
    </cfRule>
    <cfRule type="cellIs" dxfId="344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E0DE-E855-4B79-85C0-6CD6FF74CBDD}"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4.5703125" style="20" bestFit="1" customWidth="1"/>
    <col min="3" max="5" width="1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08/24/2026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(24th)</v>
      </c>
      <c r="B2" s="8">
        <v>0.28819444444444442</v>
      </c>
      <c r="C2" s="8">
        <v>0.50763888888888886</v>
      </c>
      <c r="D2" s="8">
        <v>0.53888888888888886</v>
      </c>
      <c r="E2" s="8">
        <v>0.66666666666666663</v>
      </c>
      <c r="F2" s="30">
        <f>IF(G2 &gt;= 8, 4 + COUNT(B2:E2), IF(AND(G2 &gt;= 4, G2 &lt;= 7), 2 + COUNT(B2:E2), COUNT(B2:E2)))</f>
        <v>4</v>
      </c>
      <c r="G2" s="28"/>
      <c r="H2" s="10">
        <f>SUM(C2 - B2) * 24</f>
        <v>5.2666666666666666</v>
      </c>
      <c r="I2" s="11">
        <f>SUM(E2 - D2) * 24</f>
        <v>3.0666666666666664</v>
      </c>
      <c r="J2" s="12">
        <f>H2 + I2 + G2</f>
        <v>8.3333333333333321</v>
      </c>
      <c r="K2" s="13">
        <f>IF(AND(C2 &lt;&gt; "", D2 &lt;&gt; ""), (SUM(D2 - C2) * 1440), " - ")</f>
        <v>45</v>
      </c>
      <c r="L2" s="14">
        <f>IF(AND((B2 &lt;&gt; ""), (C2 &lt;&gt; ""), (D2 &lt;&gt; ""), (E2 &lt;&gt; "")), IF((((8 - J2) * 60) + 1) &gt; 0, (((8 - J2) * 60) + 1), (((8 - J2) * 60) - 1)), "-")</f>
        <v>-20.999999999999929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(25th)</v>
      </c>
      <c r="B3" s="8">
        <v>0.28819444444444442</v>
      </c>
      <c r="C3" s="8">
        <v>0.49930555555555556</v>
      </c>
      <c r="D3" s="8">
        <v>0.53055555555555556</v>
      </c>
      <c r="E3" s="8">
        <v>0.66666666666666663</v>
      </c>
      <c r="F3" s="30">
        <f t="shared" ref="F3:F6" si="0">IF(G3 &gt;= 8, 4 + COUNT(B3:E3), IF(AND(G3 &gt;= 4, G3 &lt;= 7), 2 + COUNT(B3:E3), COUNT(B3:E3)))</f>
        <v>4</v>
      </c>
      <c r="G3" s="28"/>
      <c r="H3" s="10">
        <f>SUM(C3 - B3) * 24</f>
        <v>5.0666666666666673</v>
      </c>
      <c r="I3" s="11">
        <f>SUM(E3 - D3) * 24</f>
        <v>3.2666666666666657</v>
      </c>
      <c r="J3" s="12">
        <f t="shared" ref="J3:J6" si="1">H3 + I3 + G3</f>
        <v>8.3333333333333321</v>
      </c>
      <c r="K3" s="13">
        <f>IF(AND(C3 &lt;&gt; "", D3 &lt;&gt; ""), (SUM(D3 - C3) * 1440), " - ")</f>
        <v>45</v>
      </c>
      <c r="L3" s="14">
        <f>IF(AND((B3 &lt;&gt; ""), (C3 &lt;&gt; ""), (D3 &lt;&gt; ""), (E3 &lt;&gt; "")), IF((((8 - J3) * 60) + 1) &gt; 0, (((8 - J3) * 60) + 1), (((8 - J3) * 60) - 1)), "-")</f>
        <v>-20.999999999999929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(26th)</v>
      </c>
      <c r="B4" s="8">
        <v>0.28819444444444442</v>
      </c>
      <c r="C4" s="8">
        <v>0.5229166666666667</v>
      </c>
      <c r="D4" s="8">
        <v>0.5541666666666667</v>
      </c>
      <c r="E4" s="8">
        <v>0.66666666666666663</v>
      </c>
      <c r="F4" s="30">
        <f>IF(G4 &gt;= 8, 4 + COUNT(B4:E4), IF(AND(G4 &gt;= 4, G4 &lt;= 7), 2 + COUNT(B4:E4), COUNT(B4:E4)))</f>
        <v>4</v>
      </c>
      <c r="G4" s="28"/>
      <c r="H4" s="10">
        <f t="shared" ref="H4:H5" si="2">SUM(C4 - B4) * 24</f>
        <v>5.6333333333333346</v>
      </c>
      <c r="I4" s="11">
        <f t="shared" ref="I4:I6" si="3">SUM(E4 - D4) * 24</f>
        <v>2.6999999999999984</v>
      </c>
      <c r="J4" s="12">
        <f t="shared" si="1"/>
        <v>8.3333333333333321</v>
      </c>
      <c r="K4" s="13">
        <f t="shared" ref="K4:K6" si="4">IF(AND(C4 &lt;&gt; "", D4 &lt;&gt; ""), (SUM(D4 - C4) * 1440), " - ")</f>
        <v>45</v>
      </c>
      <c r="L4" s="14">
        <f t="shared" ref="L4:L5" si="5">IF(AND((B4 &lt;&gt; ""), (C4 &lt;&gt; ""), (D4 &lt;&gt; ""), (E4 &lt;&gt; "")), IF((((8 - J4) * 60) + 1) &gt; 0, (((8 - J4) * 60) + 1), (((8 - J4) * 60) - 1)), "-")</f>
        <v>-20.999999999999929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(27th)</v>
      </c>
      <c r="B5" s="8">
        <v>0.28819444444444442</v>
      </c>
      <c r="C5" s="8">
        <v>0.5131944444444444</v>
      </c>
      <c r="D5" s="8">
        <v>0.54374999999999996</v>
      </c>
      <c r="E5" s="8">
        <v>0.66666666666666663</v>
      </c>
      <c r="F5" s="30">
        <f t="shared" si="0"/>
        <v>4</v>
      </c>
      <c r="G5" s="28"/>
      <c r="H5" s="10">
        <f t="shared" si="2"/>
        <v>5.3999999999999995</v>
      </c>
      <c r="I5" s="11">
        <f t="shared" si="3"/>
        <v>2.95</v>
      </c>
      <c r="J5" s="12">
        <f t="shared" si="1"/>
        <v>8.35</v>
      </c>
      <c r="K5" s="13">
        <f t="shared" si="4"/>
        <v>44</v>
      </c>
      <c r="L5" s="14">
        <f t="shared" si="5"/>
        <v>-21.999999999999979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(28th)</v>
      </c>
      <c r="B6" s="8">
        <v>0.28819444444444442</v>
      </c>
      <c r="C6" s="8">
        <v>0.51458333333333328</v>
      </c>
      <c r="D6" s="8">
        <v>0.54513888888888884</v>
      </c>
      <c r="E6" s="8">
        <v>0.71736111111111112</v>
      </c>
      <c r="F6" s="30">
        <f t="shared" si="0"/>
        <v>4</v>
      </c>
      <c r="G6" s="10"/>
      <c r="H6" s="10">
        <f>SUM(C6 - B6) * 24</f>
        <v>5.4333333333333327</v>
      </c>
      <c r="I6" s="11">
        <f t="shared" si="3"/>
        <v>4.1333333333333346</v>
      </c>
      <c r="J6" s="12">
        <f t="shared" si="1"/>
        <v>9.5666666666666664</v>
      </c>
      <c r="K6" s="13">
        <f t="shared" si="4"/>
        <v>44</v>
      </c>
      <c r="L6" s="14">
        <f>IF(AND((B6 &lt;&gt; ""), (C6 &lt;&gt; ""), (D6 &lt;&gt; ""), (E6 &lt;&gt; "")), IF((((8 - J6) * 60) + 1) &gt; 0, (((8 - J6) * 60) + 1), (((8 - J6) * 60) - 1)), "-")</f>
        <v>-94.999999999999986</v>
      </c>
    </row>
    <row r="7" spans="1:13" ht="36.75" thickBot="1" x14ac:dyDescent="0.6">
      <c r="B7" s="19"/>
      <c r="I7" s="21" t="s">
        <v>10</v>
      </c>
      <c r="J7" s="22">
        <f>SUM(J2:J6)</f>
        <v>42.916666666666657</v>
      </c>
      <c r="K7" s="25">
        <f>IF(SUM(K2:K6) &lt;&gt; 0, ((60*5) - SUM(K2:K6)) / 60, 0)</f>
        <v>1.2833333333333334</v>
      </c>
      <c r="L7" s="34">
        <f>IF(SUM(L2:L6) &lt;&gt; 0, (SUM(L2:L6)/ 60), 0) * -1</f>
        <v>2.999999999999996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-2.9166666666666572</v>
      </c>
      <c r="K9" s="26"/>
    </row>
    <row r="10" spans="1:13" ht="24" thickBot="1" x14ac:dyDescent="0.4">
      <c r="I10" s="32" t="s">
        <v>21</v>
      </c>
      <c r="J10" s="25">
        <f>IF(J7 &lt; 40, "-", J7-40)</f>
        <v>2.9166666666666572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343" priority="3" operator="greaterThan">
      <formula>3</formula>
    </cfRule>
    <cfRule type="cellIs" dxfId="342" priority="4" operator="lessThan">
      <formula>4</formula>
    </cfRule>
  </conditionalFormatting>
  <conditionalFormatting sqref="J2:J6">
    <cfRule type="cellIs" dxfId="341" priority="8" operator="greaterThan">
      <formula>7.99999999</formula>
    </cfRule>
    <cfRule type="cellIs" dxfId="340" priority="9" operator="lessThan">
      <formula>8</formula>
    </cfRule>
  </conditionalFormatting>
  <conditionalFormatting sqref="J7">
    <cfRule type="cellIs" dxfId="339" priority="10" operator="lessThan">
      <formula>40</formula>
    </cfRule>
    <cfRule type="cellIs" dxfId="338" priority="11" operator="greaterThan">
      <formula>39.999999</formula>
    </cfRule>
  </conditionalFormatting>
  <conditionalFormatting sqref="K7">
    <cfRule type="cellIs" dxfId="337" priority="1" operator="greaterThan">
      <formula>0</formula>
    </cfRule>
    <cfRule type="cellIs" dxfId="336" priority="2" operator="lessThan">
      <formula>0</formula>
    </cfRule>
  </conditionalFormatting>
  <conditionalFormatting sqref="L2:L6">
    <cfRule type="cellIs" dxfId="335" priority="5" operator="equal">
      <formula>"-"</formula>
    </cfRule>
    <cfRule type="cellIs" dxfId="334" priority="6" operator="greaterThan">
      <formula>0.1</formula>
    </cfRule>
    <cfRule type="cellIs" dxfId="333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A523-17A0-4C50-9CE8-8BC834C882EC}"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4.5703125" style="20" bestFit="1" customWidth="1"/>
    <col min="3" max="5" width="1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08/17/2026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(17th)</v>
      </c>
      <c r="B2" s="8">
        <v>0.28819444444444442</v>
      </c>
      <c r="C2" s="8">
        <v>0.46388888888888891</v>
      </c>
      <c r="D2" s="8">
        <v>0.50138888888888888</v>
      </c>
      <c r="E2" s="8">
        <v>0.66666666666666663</v>
      </c>
      <c r="F2" s="30">
        <f>IF(G2 &gt;= 8, 4 + COUNT(B2:E2), IF(AND(G2 &gt;= 4, G2 &lt;= 7), 2 + COUNT(B2:E2), COUNT(B2:E2)))</f>
        <v>4</v>
      </c>
      <c r="G2" s="28"/>
      <c r="H2" s="10">
        <f>SUM(C2 - B2) * 24</f>
        <v>4.2166666666666677</v>
      </c>
      <c r="I2" s="11">
        <f>SUM(E2 - D2) * 24</f>
        <v>3.9666666666666659</v>
      </c>
      <c r="J2" s="12">
        <f>H2 + I2 + G2</f>
        <v>8.1833333333333336</v>
      </c>
      <c r="K2" s="13">
        <f>IF(AND(C2 &lt;&gt; "", D2 &lt;&gt; ""), (SUM(D2 - C2) * 1440), " - ")</f>
        <v>53.999999999999972</v>
      </c>
      <c r="L2" s="14">
        <f>IF(AND((B2 &lt;&gt; ""), (C2 &lt;&gt; ""), (D2 &lt;&gt; ""), (E2 &lt;&gt; "")), IF((((8 - J2) * 60) + 1) &gt; 0, (((8 - J2) * 60) + 1), (((8 - J2) * 60) - 1)), "-")</f>
        <v>-12.000000000000014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(18th)</v>
      </c>
      <c r="B3" s="8">
        <v>0.28819444444444442</v>
      </c>
      <c r="C3" s="8">
        <v>0.53194444444444444</v>
      </c>
      <c r="D3" s="8">
        <v>0.56319444444444444</v>
      </c>
      <c r="E3" s="8">
        <v>0.66666666666666663</v>
      </c>
      <c r="F3" s="30">
        <f t="shared" ref="F3:F6" si="0">IF(G3 &gt;= 8, 4 + COUNT(B3:E3), IF(AND(G3 &gt;= 4, G3 &lt;= 7), 2 + COUNT(B3:E3), COUNT(B3:E3)))</f>
        <v>4</v>
      </c>
      <c r="G3" s="28"/>
      <c r="H3" s="10">
        <f>SUM(C3 - B3) * 24</f>
        <v>5.8500000000000005</v>
      </c>
      <c r="I3" s="11">
        <f>SUM(E3 - D3) * 24</f>
        <v>2.4833333333333325</v>
      </c>
      <c r="J3" s="12">
        <f t="shared" ref="J3:J6" si="1">H3 + I3 + G3</f>
        <v>8.3333333333333321</v>
      </c>
      <c r="K3" s="13">
        <f>IF(AND(C3 &lt;&gt; "", D3 &lt;&gt; ""), (SUM(D3 - C3) * 1440), " - ")</f>
        <v>45</v>
      </c>
      <c r="L3" s="14">
        <f>IF(AND((B3 &lt;&gt; ""), (C3 &lt;&gt; ""), (D3 &lt;&gt; ""), (E3 &lt;&gt; "")), IF((((8 - J3) * 60) + 1) &gt; 0, (((8 - J3) * 60) + 1), (((8 - J3) * 60) - 1)), "-")</f>
        <v>-20.999999999999929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(19th)</v>
      </c>
      <c r="B4" s="8">
        <v>0.5</v>
      </c>
      <c r="C4" s="27"/>
      <c r="D4" s="27"/>
      <c r="E4" s="8">
        <v>0.66666666666666663</v>
      </c>
      <c r="F4" s="30">
        <v>2</v>
      </c>
      <c r="G4" s="28">
        <v>4</v>
      </c>
      <c r="H4" s="10">
        <f t="shared" ref="H4:H5" si="2">SUM(C4 - B4) * 24</f>
        <v>-12</v>
      </c>
      <c r="I4" s="11">
        <f t="shared" ref="I4:I6" si="3">SUM(E4 - D4) * 24</f>
        <v>16</v>
      </c>
      <c r="J4" s="12">
        <f t="shared" si="1"/>
        <v>8</v>
      </c>
      <c r="K4" s="13" t="str">
        <f t="shared" ref="K4:K6" si="4">IF(AND(C4 &lt;&gt; "", D4 &lt;&gt; ""), (SUM(D4 - C4) * 1440), " - ")</f>
        <v xml:space="preserve"> - </v>
      </c>
      <c r="L4" s="14" t="str">
        <f t="shared" ref="L4:L5" si="5">IF(AND((B4 &lt;&gt; ""), (C4 &lt;&gt; ""), (D4 &lt;&gt; ""), (E4 &lt;&gt; "")), IF((((8 - J4) * 60) + 1) &gt; 0, (((8 - J4) * 60) + 1), (((8 - J4) * 60) - 1)), "-")</f>
        <v>-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(20th)</v>
      </c>
      <c r="B5" s="8">
        <v>0.28819444444444442</v>
      </c>
      <c r="C5" s="8">
        <v>0.55347222222222225</v>
      </c>
      <c r="D5" s="8">
        <v>0.58333333333333337</v>
      </c>
      <c r="E5" s="8">
        <v>0.66666666666666663</v>
      </c>
      <c r="F5" s="30">
        <f t="shared" si="0"/>
        <v>4</v>
      </c>
      <c r="G5" s="28"/>
      <c r="H5" s="10">
        <f t="shared" si="2"/>
        <v>6.366666666666668</v>
      </c>
      <c r="I5" s="11">
        <f t="shared" si="3"/>
        <v>1.9999999999999982</v>
      </c>
      <c r="J5" s="12">
        <f t="shared" si="1"/>
        <v>8.3666666666666671</v>
      </c>
      <c r="K5" s="13">
        <f t="shared" si="4"/>
        <v>43.000000000000007</v>
      </c>
      <c r="L5" s="14">
        <f t="shared" si="5"/>
        <v>-23.000000000000028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(21st)</v>
      </c>
      <c r="B6" s="8">
        <v>0.28819444444444442</v>
      </c>
      <c r="C6" s="8">
        <v>0.54861111111111116</v>
      </c>
      <c r="D6" s="8">
        <v>0.57916666666666672</v>
      </c>
      <c r="E6" s="8">
        <v>0.66666666666666663</v>
      </c>
      <c r="F6" s="30">
        <f t="shared" si="0"/>
        <v>4</v>
      </c>
      <c r="G6" s="10"/>
      <c r="H6" s="10">
        <f>SUM(C6 - B6) * 24</f>
        <v>6.2500000000000018</v>
      </c>
      <c r="I6" s="11">
        <f t="shared" si="3"/>
        <v>2.0999999999999979</v>
      </c>
      <c r="J6" s="12">
        <f t="shared" si="1"/>
        <v>8.35</v>
      </c>
      <c r="K6" s="13">
        <f t="shared" si="4"/>
        <v>44</v>
      </c>
      <c r="L6" s="14">
        <f>IF(AND((B6 &lt;&gt; ""), (C6 &lt;&gt; ""), (D6 &lt;&gt; ""), (E6 &lt;&gt; "")), IF((((8 - J6) * 60) + 1) &gt; 0, (((8 - J6) * 60) + 1), (((8 - J6) * 60) - 1)), "-")</f>
        <v>-21.999999999999979</v>
      </c>
    </row>
    <row r="7" spans="1:13" ht="36.75" thickBot="1" x14ac:dyDescent="0.6">
      <c r="B7" s="19"/>
      <c r="I7" s="21" t="s">
        <v>10</v>
      </c>
      <c r="J7" s="22">
        <f>SUM(J2:J6)</f>
        <v>41.233333333333334</v>
      </c>
      <c r="K7" s="25">
        <f>IF(SUM(K2:K6) &lt;&gt; 0, ((60*5) - SUM(K2:K6)) / 60, 0)</f>
        <v>1.9000000000000006</v>
      </c>
      <c r="L7" s="34">
        <f>IF(SUM(L2:L6) &lt;&gt; 0, (SUM(L2:L6)/ 60), 0) * -1</f>
        <v>1.2999999999999992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-1.2333333333333343</v>
      </c>
      <c r="K9" s="26"/>
    </row>
    <row r="10" spans="1:13" ht="24" thickBot="1" x14ac:dyDescent="0.4">
      <c r="I10" s="32" t="s">
        <v>21</v>
      </c>
      <c r="J10" s="25">
        <f>IF(J7 &lt; 40, "-", J7-40)</f>
        <v>1.2333333333333343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332" priority="3" operator="greaterThan">
      <formula>3</formula>
    </cfRule>
    <cfRule type="cellIs" dxfId="331" priority="4" operator="lessThan">
      <formula>4</formula>
    </cfRule>
  </conditionalFormatting>
  <conditionalFormatting sqref="J2:J6">
    <cfRule type="cellIs" dxfId="330" priority="8" operator="greaterThan">
      <formula>7.99999999</formula>
    </cfRule>
    <cfRule type="cellIs" dxfId="329" priority="9" operator="lessThan">
      <formula>8</formula>
    </cfRule>
  </conditionalFormatting>
  <conditionalFormatting sqref="J7">
    <cfRule type="cellIs" dxfId="328" priority="10" operator="lessThan">
      <formula>40</formula>
    </cfRule>
    <cfRule type="cellIs" dxfId="327" priority="11" operator="greaterThan">
      <formula>39.999999</formula>
    </cfRule>
  </conditionalFormatting>
  <conditionalFormatting sqref="K7">
    <cfRule type="cellIs" dxfId="326" priority="1" operator="greaterThan">
      <formula>0</formula>
    </cfRule>
    <cfRule type="cellIs" dxfId="325" priority="2" operator="lessThan">
      <formula>0</formula>
    </cfRule>
  </conditionalFormatting>
  <conditionalFormatting sqref="L2:L6">
    <cfRule type="cellIs" dxfId="324" priority="5" operator="equal">
      <formula>"-"</formula>
    </cfRule>
    <cfRule type="cellIs" dxfId="323" priority="6" operator="greaterThan">
      <formula>0.1</formula>
    </cfRule>
    <cfRule type="cellIs" dxfId="322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D05D9-F336-4072-952B-730FA495965E}"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5" width="1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08/10/2026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(10th)</v>
      </c>
      <c r="B2" s="8">
        <v>0.28819444444444442</v>
      </c>
      <c r="C2" s="27"/>
      <c r="D2" s="27"/>
      <c r="E2" s="9">
        <v>0.45833333333333331</v>
      </c>
      <c r="F2" s="30">
        <f>IF(G2 &gt;= 8, 4 + COUNT(B2:E2), IF(AND(G2 &gt;= 4, G2 &lt;= 7), 2 + COUNT(B2:E2), COUNT(B2:E2)))</f>
        <v>4</v>
      </c>
      <c r="G2" s="28">
        <v>4</v>
      </c>
      <c r="H2" s="10">
        <f>SUM(C2 - B2) * 24</f>
        <v>-6.9166666666666661</v>
      </c>
      <c r="I2" s="11">
        <f>SUM(E2 - D2) * 24</f>
        <v>11</v>
      </c>
      <c r="J2" s="12">
        <f>H2 + I2 + G2</f>
        <v>8.0833333333333339</v>
      </c>
      <c r="K2" s="13" t="str">
        <f>IF(AND(C2 &lt;&gt; "", D2 &lt;&gt; ""), (SUM(D2 - C2) * 1440), " - ")</f>
        <v xml:space="preserve"> - </v>
      </c>
      <c r="L2" s="14" t="str">
        <f>IF(AND((B2 &lt;&gt; ""), (C2 &lt;&gt; ""), (D2 &lt;&gt; ""), (E2 &lt;&gt; "")), IF((((8 - J2) * 60) + 1) &gt; 0, (((8 - J2) * 60) + 1), (((8 - J2) * 60) - 1)), "-")</f>
        <v>-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(11th)</v>
      </c>
      <c r="B3" s="8">
        <v>0.28819444444444442</v>
      </c>
      <c r="C3" s="27"/>
      <c r="D3" s="27"/>
      <c r="E3" s="9">
        <v>0.45833333333333331</v>
      </c>
      <c r="F3" s="30">
        <f t="shared" ref="F3:F6" si="0">IF(G3 &gt;= 8, 4 + COUNT(B3:E3), IF(AND(G3 &gt;= 4, G3 &lt;= 7), 2 + COUNT(B3:E3), COUNT(B3:E3)))</f>
        <v>4</v>
      </c>
      <c r="G3" s="28">
        <v>4</v>
      </c>
      <c r="H3" s="10">
        <f>SUM(C3 - B3) * 24</f>
        <v>-6.9166666666666661</v>
      </c>
      <c r="I3" s="11">
        <f>SUM(E3 - D3) * 24</f>
        <v>11</v>
      </c>
      <c r="J3" s="12">
        <f t="shared" ref="J3:J6" si="1">H3 + I3 + G3</f>
        <v>8.0833333333333339</v>
      </c>
      <c r="K3" s="13" t="str">
        <f>IF(AND(C3 &lt;&gt; "", D3 &lt;&gt; ""), (SUM(D3 - C3) * 1440), " - ")</f>
        <v xml:space="preserve"> - </v>
      </c>
      <c r="L3" s="14" t="str">
        <f>IF(AND((B3 &lt;&gt; ""), (C3 &lt;&gt; ""), (D3 &lt;&gt; ""), (E3 &lt;&gt; "")), IF((((8 - J3) * 60) + 1) &gt; 0, (((8 - J3) * 60) + 1), (((8 - J3) * 60) - 1)), "-")</f>
        <v>-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(12th)</v>
      </c>
      <c r="B4" s="27"/>
      <c r="C4" s="27"/>
      <c r="D4" s="27"/>
      <c r="E4" s="27"/>
      <c r="F4" s="30">
        <f t="shared" si="0"/>
        <v>4</v>
      </c>
      <c r="G4" s="28">
        <v>8</v>
      </c>
      <c r="H4" s="10">
        <f t="shared" ref="H4:H5" si="2">SUM(C4 - B4) * 24</f>
        <v>0</v>
      </c>
      <c r="I4" s="11">
        <f t="shared" ref="I4:I6" si="3">SUM(E4 - D4) * 24</f>
        <v>0</v>
      </c>
      <c r="J4" s="12">
        <f t="shared" si="1"/>
        <v>8</v>
      </c>
      <c r="K4" s="13" t="str">
        <f t="shared" ref="K4:K6" si="4">IF(AND(C4 &lt;&gt; "", D4 &lt;&gt; ""), (SUM(D4 - C4) * 1440), " - ")</f>
        <v xml:space="preserve"> - </v>
      </c>
      <c r="L4" s="14" t="str">
        <f t="shared" ref="L4:L5" si="5">IF(AND((B4 &lt;&gt; ""), (C4 &lt;&gt; ""), (D4 &lt;&gt; ""), (E4 &lt;&gt; "")), IF((((8 - J4) * 60) + 1) &gt; 0, (((8 - J4) * 60) + 1), (((8 - J4) * 60) - 1)), "-")</f>
        <v>-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(13th)</v>
      </c>
      <c r="B5" s="8">
        <v>0.28819444444444442</v>
      </c>
      <c r="C5" s="27"/>
      <c r="D5" s="27"/>
      <c r="E5" s="9">
        <v>0.45833333333333331</v>
      </c>
      <c r="F5" s="30">
        <f t="shared" si="0"/>
        <v>4</v>
      </c>
      <c r="G5" s="28">
        <v>4</v>
      </c>
      <c r="H5" s="10">
        <f t="shared" si="2"/>
        <v>-6.9166666666666661</v>
      </c>
      <c r="I5" s="11">
        <f t="shared" si="3"/>
        <v>11</v>
      </c>
      <c r="J5" s="12">
        <f t="shared" si="1"/>
        <v>8.0833333333333339</v>
      </c>
      <c r="K5" s="13" t="str">
        <f t="shared" si="4"/>
        <v xml:space="preserve"> - </v>
      </c>
      <c r="L5" s="14" t="str">
        <f t="shared" si="5"/>
        <v>-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(14th)</v>
      </c>
      <c r="B6" s="8">
        <v>0.28819444444444442</v>
      </c>
      <c r="C6" s="27"/>
      <c r="D6" s="27"/>
      <c r="E6" s="9">
        <v>0.45833333333333331</v>
      </c>
      <c r="F6" s="30">
        <f t="shared" si="0"/>
        <v>4</v>
      </c>
      <c r="G6" s="10">
        <v>4</v>
      </c>
      <c r="H6" s="10">
        <f>SUM(C6 - B6) * 24</f>
        <v>-6.9166666666666661</v>
      </c>
      <c r="I6" s="11">
        <f t="shared" si="3"/>
        <v>11</v>
      </c>
      <c r="J6" s="12">
        <f t="shared" si="1"/>
        <v>8.0833333333333339</v>
      </c>
      <c r="K6" s="13" t="str">
        <f t="shared" si="4"/>
        <v xml:space="preserve"> - </v>
      </c>
      <c r="L6" s="14" t="str">
        <f>IF(AND((B6 &lt;&gt; ""), (C6 &lt;&gt; ""), (D6 &lt;&gt; ""), (E6 &lt;&gt; "")), IF((((8 - J6) * 60) + 1) &gt; 0, (((8 - J6) * 60) + 1), (((8 - J6) * 60) - 1)), "-")</f>
        <v>-</v>
      </c>
    </row>
    <row r="7" spans="1:13" ht="36.75" thickBot="1" x14ac:dyDescent="0.6">
      <c r="B7" s="19"/>
      <c r="I7" s="21" t="s">
        <v>10</v>
      </c>
      <c r="J7" s="22">
        <f>SUM(J2:J6)</f>
        <v>40.333333333333336</v>
      </c>
      <c r="K7" s="25">
        <f>IF(SUM(K2:K6) &lt;&gt; 0, ((60*5) - SUM(K2:K6)) / 60, 0)</f>
        <v>0</v>
      </c>
      <c r="L7" s="34">
        <f>IF(SUM(L2:L6) &lt;&gt; 0, (SUM(L2:L6)/ 60), 0) * -1</f>
        <v>0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-0.3333333333333357</v>
      </c>
      <c r="K9" s="26"/>
    </row>
    <row r="10" spans="1:13" ht="24" thickBot="1" x14ac:dyDescent="0.4">
      <c r="I10" s="32" t="s">
        <v>21</v>
      </c>
      <c r="J10" s="25">
        <f>IF(J7 &lt; 40, "-", J7-40)</f>
        <v>0.3333333333333357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321" priority="3" operator="greaterThan">
      <formula>3</formula>
    </cfRule>
    <cfRule type="cellIs" dxfId="320" priority="4" operator="lessThan">
      <formula>4</formula>
    </cfRule>
  </conditionalFormatting>
  <conditionalFormatting sqref="J2:J6">
    <cfRule type="cellIs" dxfId="319" priority="8" operator="greaterThan">
      <formula>7.99999999</formula>
    </cfRule>
    <cfRule type="cellIs" dxfId="318" priority="9" operator="lessThan">
      <formula>8</formula>
    </cfRule>
  </conditionalFormatting>
  <conditionalFormatting sqref="J7">
    <cfRule type="cellIs" dxfId="317" priority="10" operator="lessThan">
      <formula>40</formula>
    </cfRule>
    <cfRule type="cellIs" dxfId="316" priority="11" operator="greaterThan">
      <formula>39.999999</formula>
    </cfRule>
  </conditionalFormatting>
  <conditionalFormatting sqref="K7">
    <cfRule type="cellIs" dxfId="315" priority="1" operator="greaterThan">
      <formula>0</formula>
    </cfRule>
    <cfRule type="cellIs" dxfId="314" priority="2" operator="lessThan">
      <formula>0</formula>
    </cfRule>
  </conditionalFormatting>
  <conditionalFormatting sqref="L2:L6">
    <cfRule type="cellIs" dxfId="313" priority="5" operator="equal">
      <formula>"-"</formula>
    </cfRule>
    <cfRule type="cellIs" dxfId="312" priority="6" operator="greaterThan">
      <formula>0.1</formula>
    </cfRule>
    <cfRule type="cellIs" dxfId="311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5BDC-A24C-4A68-9554-63E3753A4309}"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5" width="1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08/03/2026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(3rd)</v>
      </c>
      <c r="B2" s="8">
        <v>0.28819444444444442</v>
      </c>
      <c r="C2" s="8">
        <v>0.51388888888888884</v>
      </c>
      <c r="D2" s="8">
        <v>0.54513888888888884</v>
      </c>
      <c r="E2" s="9">
        <v>0.66736111111111107</v>
      </c>
      <c r="F2" s="30">
        <f>IF(G2 &gt;= 8, 4 + COUNT(B2:E2), IF(AND(G2 &gt;= 4, G2 &lt;= 7), 2 + COUNT(B2:E2), COUNT(B2:E2)))</f>
        <v>4</v>
      </c>
      <c r="G2" s="10"/>
      <c r="H2" s="10">
        <f>SUM(C2 - B2) * 24</f>
        <v>5.4166666666666661</v>
      </c>
      <c r="I2" s="11">
        <f>SUM(E2 - D2) * 24</f>
        <v>2.9333333333333336</v>
      </c>
      <c r="J2" s="12">
        <f>H2 + I2 + G2</f>
        <v>8.35</v>
      </c>
      <c r="K2" s="13">
        <f>IF(AND(C2 &lt;&gt; "", D2 &lt;&gt; ""), (SUM(D2 - C2) * 1440), " - ")</f>
        <v>45</v>
      </c>
      <c r="L2" s="14">
        <f>IF(AND((B2 &lt;&gt; ""), (C2 &lt;&gt; ""), (D2 &lt;&gt; ""), (E2 &lt;&gt; "")), IF((((8 - J2) * 60) + 1) &gt; 0, (((8 - J2) * 60) + 1), (((8 - J2) * 60) - 1)), "-")</f>
        <v>-21.999999999999979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(4th)</v>
      </c>
      <c r="B3" s="8">
        <v>0.28819444444444442</v>
      </c>
      <c r="C3" s="8">
        <v>0.52430555555555558</v>
      </c>
      <c r="D3" s="8">
        <v>0.55277777777777781</v>
      </c>
      <c r="E3" s="9">
        <v>0.66666666666666663</v>
      </c>
      <c r="F3" s="30">
        <f t="shared" ref="F3:F6" si="0">IF(G3 &gt;= 8, 4 + COUNT(B3:E3), IF(AND(G3 &gt;= 4, G3 &lt;= 7), 2 + COUNT(B3:E3), COUNT(B3:E3)))</f>
        <v>4</v>
      </c>
      <c r="G3" s="10"/>
      <c r="H3" s="10">
        <f>SUM(C3 - B3) * 24</f>
        <v>5.6666666666666679</v>
      </c>
      <c r="I3" s="11">
        <f>SUM(E3 - D3) * 24</f>
        <v>2.7333333333333316</v>
      </c>
      <c r="J3" s="12">
        <f t="shared" ref="J3:J6" si="1">H3 + I3 + G3</f>
        <v>8.3999999999999986</v>
      </c>
      <c r="K3" s="13">
        <f>IF(AND(C3 &lt;&gt; "", D3 &lt;&gt; ""), (SUM(D3 - C3) * 1440), " - ")</f>
        <v>41.000000000000014</v>
      </c>
      <c r="L3" s="14">
        <f>IF(AND((B3 &lt;&gt; ""), (C3 &lt;&gt; ""), (D3 &lt;&gt; ""), (E3 &lt;&gt; "")), IF((((8 - J3) * 60) + 1) &gt; 0, (((8 - J3) * 60) + 1), (((8 - J3) * 60) - 1)), "-")</f>
        <v>-24.999999999999915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(5th)</v>
      </c>
      <c r="B4" s="8">
        <v>0.28819444444444442</v>
      </c>
      <c r="C4" s="8">
        <v>0.49444444444444446</v>
      </c>
      <c r="D4" s="8">
        <v>0.52430555555555558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4.9500000000000011</v>
      </c>
      <c r="I4" s="11">
        <f t="shared" ref="I4:I6" si="3">SUM(E4 - D4) * 24</f>
        <v>3.4166666666666652</v>
      </c>
      <c r="J4" s="12">
        <f t="shared" si="1"/>
        <v>8.3666666666666671</v>
      </c>
      <c r="K4" s="13">
        <f t="shared" ref="K4:K6" si="4">IF(AND(C4 &lt;&gt; "", D4 &lt;&gt; ""), (SUM(D4 - C4) * 1440), " - ")</f>
        <v>43.000000000000007</v>
      </c>
      <c r="L4" s="14">
        <f t="shared" ref="L4:L5" si="5">IF(AND((B4 &lt;&gt; ""), (C4 &lt;&gt; ""), (D4 &lt;&gt; ""), (E4 &lt;&gt; "")), IF((((8 - J4) * 60) + 1) &gt; 0, (((8 - J4) * 60) + 1), (((8 - J4) * 60) - 1)), "-")</f>
        <v>-23.000000000000028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(6th)</v>
      </c>
      <c r="B5" s="8">
        <v>0.28819444444444442</v>
      </c>
      <c r="C5" s="27"/>
      <c r="D5" s="27"/>
      <c r="E5" s="9">
        <v>0.45833333333333331</v>
      </c>
      <c r="F5" s="30">
        <f t="shared" si="0"/>
        <v>4</v>
      </c>
      <c r="G5" s="28">
        <v>4</v>
      </c>
      <c r="H5" s="10">
        <f t="shared" si="2"/>
        <v>-6.9166666666666661</v>
      </c>
      <c r="I5" s="11">
        <f t="shared" si="3"/>
        <v>11</v>
      </c>
      <c r="J5" s="12">
        <f t="shared" si="1"/>
        <v>8.0833333333333339</v>
      </c>
      <c r="K5" s="13" t="str">
        <f t="shared" si="4"/>
        <v xml:space="preserve"> - </v>
      </c>
      <c r="L5" s="14" t="str">
        <f t="shared" si="5"/>
        <v>-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(7th)</v>
      </c>
      <c r="B6" s="8">
        <v>0.28819444444444442</v>
      </c>
      <c r="C6" s="27"/>
      <c r="D6" s="27"/>
      <c r="E6" s="9">
        <v>0.45833333333333331</v>
      </c>
      <c r="F6" s="30">
        <f t="shared" si="0"/>
        <v>4</v>
      </c>
      <c r="G6" s="10">
        <v>4</v>
      </c>
      <c r="H6" s="10">
        <f>SUM(C6 - B6) * 24</f>
        <v>-6.9166666666666661</v>
      </c>
      <c r="I6" s="11">
        <f t="shared" si="3"/>
        <v>11</v>
      </c>
      <c r="J6" s="12">
        <f t="shared" si="1"/>
        <v>8.0833333333333339</v>
      </c>
      <c r="K6" s="13" t="str">
        <f t="shared" si="4"/>
        <v xml:space="preserve"> - </v>
      </c>
      <c r="L6" s="14" t="str">
        <f>IF(AND((B6 &lt;&gt; ""), (C6 &lt;&gt; ""), (D6 &lt;&gt; ""), (E6 &lt;&gt; "")), IF((((8 - J6) * 60) + 1) &gt; 0, (((8 - J6) * 60) + 1), (((8 - J6) * 60) - 1)), "-")</f>
        <v>-</v>
      </c>
    </row>
    <row r="7" spans="1:13" ht="36.75" thickBot="1" x14ac:dyDescent="0.6">
      <c r="B7" s="19"/>
      <c r="I7" s="21" t="s">
        <v>10</v>
      </c>
      <c r="J7" s="22">
        <f>SUM(J2:J6)</f>
        <v>41.283333333333339</v>
      </c>
      <c r="K7" s="25">
        <f>IF(SUM(K2:K6) &lt;&gt; 0, ((60*5) - SUM(K2:K6)) / 60, 0)</f>
        <v>2.8499999999999996</v>
      </c>
      <c r="L7" s="34">
        <f>IF(SUM(L2:L6) &lt;&gt; 0, (SUM(L2:L6)/ 60), 0) * -1</f>
        <v>1.1666666666666652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-1.2833333333333385</v>
      </c>
      <c r="K9" s="26"/>
    </row>
    <row r="10" spans="1:13" ht="24" thickBot="1" x14ac:dyDescent="0.4">
      <c r="I10" s="32" t="s">
        <v>21</v>
      </c>
      <c r="J10" s="25">
        <f>IF(J7 &lt; 40, "-", J7-40)</f>
        <v>1.2833333333333385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310" priority="3" operator="greaterThan">
      <formula>3</formula>
    </cfRule>
    <cfRule type="cellIs" dxfId="309" priority="4" operator="lessThan">
      <formula>4</formula>
    </cfRule>
  </conditionalFormatting>
  <conditionalFormatting sqref="J2:J6">
    <cfRule type="cellIs" dxfId="308" priority="8" operator="greaterThan">
      <formula>7.99999999</formula>
    </cfRule>
    <cfRule type="cellIs" dxfId="307" priority="9" operator="lessThan">
      <formula>8</formula>
    </cfRule>
  </conditionalFormatting>
  <conditionalFormatting sqref="J7">
    <cfRule type="cellIs" dxfId="306" priority="10" operator="lessThan">
      <formula>40</formula>
    </cfRule>
    <cfRule type="cellIs" dxfId="305" priority="11" operator="greaterThan">
      <formula>39.999999</formula>
    </cfRule>
  </conditionalFormatting>
  <conditionalFormatting sqref="K7">
    <cfRule type="cellIs" dxfId="304" priority="1" operator="greaterThan">
      <formula>0</formula>
    </cfRule>
    <cfRule type="cellIs" dxfId="303" priority="2" operator="lessThan">
      <formula>0</formula>
    </cfRule>
  </conditionalFormatting>
  <conditionalFormatting sqref="L2:L6">
    <cfRule type="cellIs" dxfId="302" priority="5" operator="equal">
      <formula>"-"</formula>
    </cfRule>
    <cfRule type="cellIs" dxfId="301" priority="6" operator="greaterThan">
      <formula>0.1</formula>
    </cfRule>
    <cfRule type="cellIs" dxfId="300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092A-444B-4499-9A96-86E4F540520F}"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5" width="1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07/27/2026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(27th)</v>
      </c>
      <c r="B2" s="8">
        <v>0.28819444444444442</v>
      </c>
      <c r="C2" s="8">
        <v>0.52083333333333337</v>
      </c>
      <c r="D2" s="8">
        <v>0.55000000000000004</v>
      </c>
      <c r="E2" s="9">
        <v>0.66666666666666663</v>
      </c>
      <c r="F2" s="30">
        <f>IF(G2 &gt;= 8, 4 + COUNT(B2:E2), IF(AND(G2 &gt;= 4, G2 &lt;= 7), 2 + COUNT(B2:E2), COUNT(B2:E2)))</f>
        <v>4</v>
      </c>
      <c r="G2" s="10"/>
      <c r="H2" s="10">
        <f>SUM(C2 - B2) * 24</f>
        <v>5.5833333333333348</v>
      </c>
      <c r="I2" s="11">
        <f>SUM(E2 - D2) * 24</f>
        <v>2.799999999999998</v>
      </c>
      <c r="J2" s="12">
        <f>H2 + I2 + G2</f>
        <v>8.3833333333333329</v>
      </c>
      <c r="K2" s="13">
        <f>IF(AND(C2 &lt;&gt; "", D2 &lt;&gt; ""), (SUM(D2 - C2) * 1440), " - ")</f>
        <v>42.000000000000014</v>
      </c>
      <c r="L2" s="14">
        <f>IF(AND((B2 &lt;&gt; ""), (C2 &lt;&gt; ""), (D2 &lt;&gt; ""), (E2 &lt;&gt; "")), IF((((8 - J2) * 60) + 1) &gt; 0, (((8 - J2) * 60) + 1), (((8 - J2) * 60) - 1)), "-")</f>
        <v>-23.999999999999972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(28th)</v>
      </c>
      <c r="B3" s="8">
        <v>0.28819444444444442</v>
      </c>
      <c r="C3" s="8">
        <v>0.50208333333333333</v>
      </c>
      <c r="D3" s="8">
        <v>0.52986111111111112</v>
      </c>
      <c r="E3" s="9">
        <v>0.63541666666666663</v>
      </c>
      <c r="F3" s="30">
        <f t="shared" ref="F3:F6" si="0">IF(G3 &gt;= 8, 4 + COUNT(B3:E3), IF(AND(G3 &gt;= 4, G3 &lt;= 7), 2 + COUNT(B3:E3), COUNT(B3:E3)))</f>
        <v>4</v>
      </c>
      <c r="G3" s="10"/>
      <c r="H3" s="10">
        <f>SUM(C3 - B3) * 24</f>
        <v>5.1333333333333337</v>
      </c>
      <c r="I3" s="11">
        <f>SUM(E3 - D3) * 24</f>
        <v>2.5333333333333323</v>
      </c>
      <c r="J3" s="12">
        <f t="shared" ref="J3:J6" si="1">H3 + I3 + G3</f>
        <v>7.6666666666666661</v>
      </c>
      <c r="K3" s="13">
        <f>IF(AND(C3 &lt;&gt; "", D3 &lt;&gt; ""), (SUM(D3 - C3) * 1440), " - ")</f>
        <v>40.000000000000014</v>
      </c>
      <c r="L3" s="14">
        <f>IF(AND((B3 &lt;&gt; ""), (C3 &lt;&gt; ""), (D3 &lt;&gt; ""), (E3 &lt;&gt; "")), IF((((8 - J3) * 60) + 1) &gt; 0, (((8 - J3) * 60) + 1), (((8 - J3) * 60) - 1)), "-")</f>
        <v>21.000000000000036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(29th)</v>
      </c>
      <c r="B4" s="8">
        <v>0.28819444444444442</v>
      </c>
      <c r="C4" s="8">
        <v>0.4909722222222222</v>
      </c>
      <c r="D4" s="8">
        <v>0.52013888888888893</v>
      </c>
      <c r="E4" s="9">
        <v>0.54166666666666663</v>
      </c>
      <c r="F4" s="30">
        <f t="shared" si="0"/>
        <v>4</v>
      </c>
      <c r="G4" s="28">
        <v>3</v>
      </c>
      <c r="H4" s="10">
        <f t="shared" ref="H4:H5" si="2">SUM(C4 - B4) * 24</f>
        <v>4.8666666666666671</v>
      </c>
      <c r="I4" s="11">
        <f t="shared" ref="I4:I6" si="3">SUM(E4 - D4) * 24</f>
        <v>0.51666666666666483</v>
      </c>
      <c r="J4" s="12">
        <f t="shared" si="1"/>
        <v>8.3833333333333329</v>
      </c>
      <c r="K4" s="13">
        <f t="shared" ref="K4:K6" si="4">IF(AND(C4 &lt;&gt; "", D4 &lt;&gt; ""), (SUM(D4 - C4) * 1440), " - ")</f>
        <v>42.000000000000092</v>
      </c>
      <c r="L4" s="14">
        <f t="shared" ref="L4:L5" si="5">IF(AND((B4 &lt;&gt; ""), (C4 &lt;&gt; ""), (D4 &lt;&gt; ""), (E4 &lt;&gt; "")), IF((((8 - J4) * 60) + 1) &gt; 0, (((8 - J4) * 60) + 1), (((8 - J4) * 60) - 1)), "-")</f>
        <v>-23.999999999999972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(30th)</v>
      </c>
      <c r="B5" s="8">
        <v>0.28819444444444442</v>
      </c>
      <c r="C5" s="27"/>
      <c r="D5" s="27"/>
      <c r="E5" s="9">
        <v>0.45833333333333331</v>
      </c>
      <c r="F5" s="30">
        <f t="shared" si="0"/>
        <v>4</v>
      </c>
      <c r="G5" s="28">
        <v>4</v>
      </c>
      <c r="H5" s="10">
        <f t="shared" si="2"/>
        <v>-6.9166666666666661</v>
      </c>
      <c r="I5" s="11">
        <f t="shared" si="3"/>
        <v>11</v>
      </c>
      <c r="J5" s="12">
        <f t="shared" si="1"/>
        <v>8.0833333333333339</v>
      </c>
      <c r="K5" s="13" t="str">
        <f t="shared" si="4"/>
        <v xml:space="preserve"> - </v>
      </c>
      <c r="L5" s="14" t="str">
        <f t="shared" si="5"/>
        <v>-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(31st)</v>
      </c>
      <c r="B6" s="8">
        <v>0.28819444444444442</v>
      </c>
      <c r="C6" s="27"/>
      <c r="D6" s="27"/>
      <c r="E6" s="9">
        <v>0.45833333333333331</v>
      </c>
      <c r="F6" s="30">
        <f t="shared" si="0"/>
        <v>4</v>
      </c>
      <c r="G6" s="10">
        <v>4</v>
      </c>
      <c r="H6" s="10">
        <f>SUM(C6 - B6) * 24</f>
        <v>-6.9166666666666661</v>
      </c>
      <c r="I6" s="11">
        <f t="shared" si="3"/>
        <v>11</v>
      </c>
      <c r="J6" s="12">
        <f t="shared" si="1"/>
        <v>8.0833333333333339</v>
      </c>
      <c r="K6" s="13" t="str">
        <f t="shared" si="4"/>
        <v xml:space="preserve"> - </v>
      </c>
      <c r="L6" s="14" t="str">
        <f>IF(AND((B6 &lt;&gt; ""), (C6 &lt;&gt; ""), (D6 &lt;&gt; ""), (E6 &lt;&gt; "")), IF((((8 - J6) * 60) + 1) &gt; 0, (((8 - J6) * 60) + 1), (((8 - J6) * 60) - 1)), "-")</f>
        <v>-</v>
      </c>
    </row>
    <row r="7" spans="1:13" ht="36.75" thickBot="1" x14ac:dyDescent="0.6">
      <c r="B7" s="19"/>
      <c r="I7" s="21" t="s">
        <v>10</v>
      </c>
      <c r="J7" s="22">
        <f>SUM(J2:J6)</f>
        <v>40.6</v>
      </c>
      <c r="K7" s="25">
        <f>IF(SUM(K2:K6) &lt;&gt; 0, ((60*5) - SUM(K2:K6)) / 60, 0)</f>
        <v>2.9333333333333313</v>
      </c>
      <c r="L7" s="34">
        <f>IF(SUM(L2:L6) &lt;&gt; 0, (SUM(L2:L6)/ 60), 0) * -1</f>
        <v>0.44999999999999846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-0.60000000000000142</v>
      </c>
      <c r="K9" s="26"/>
    </row>
    <row r="10" spans="1:13" ht="24" thickBot="1" x14ac:dyDescent="0.4">
      <c r="I10" s="32" t="s">
        <v>21</v>
      </c>
      <c r="J10" s="25">
        <f>IF(J7 &lt; 40, "-", J7-40)</f>
        <v>0.60000000000000142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299" priority="3" operator="greaterThan">
      <formula>3</formula>
    </cfRule>
    <cfRule type="cellIs" dxfId="298" priority="4" operator="lessThan">
      <formula>4</formula>
    </cfRule>
  </conditionalFormatting>
  <conditionalFormatting sqref="J2:J6">
    <cfRule type="cellIs" dxfId="297" priority="8" operator="greaterThan">
      <formula>7.99999999</formula>
    </cfRule>
    <cfRule type="cellIs" dxfId="296" priority="9" operator="lessThan">
      <formula>8</formula>
    </cfRule>
  </conditionalFormatting>
  <conditionalFormatting sqref="J7">
    <cfRule type="cellIs" dxfId="295" priority="10" operator="lessThan">
      <formula>40</formula>
    </cfRule>
    <cfRule type="cellIs" dxfId="294" priority="11" operator="greaterThan">
      <formula>39.999999</formula>
    </cfRule>
  </conditionalFormatting>
  <conditionalFormatting sqref="K7">
    <cfRule type="cellIs" dxfId="293" priority="1" operator="greaterThan">
      <formula>0</formula>
    </cfRule>
    <cfRule type="cellIs" dxfId="292" priority="2" operator="lessThan">
      <formula>0</formula>
    </cfRule>
  </conditionalFormatting>
  <conditionalFormatting sqref="L2:L6">
    <cfRule type="cellIs" dxfId="291" priority="5" operator="equal">
      <formula>"-"</formula>
    </cfRule>
    <cfRule type="cellIs" dxfId="290" priority="6" operator="greaterThan">
      <formula>0.1</formula>
    </cfRule>
    <cfRule type="cellIs" dxfId="289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EB823-DE96-4B76-AD70-5A24159396F4}">
  <sheetPr codeName="Sheet1"/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5" width="1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07/20/2026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(20th)</v>
      </c>
      <c r="B2" s="8">
        <v>0.28819444444444442</v>
      </c>
      <c r="C2" s="8">
        <v>0.49791666666666667</v>
      </c>
      <c r="D2" s="8">
        <v>0.52916666666666667</v>
      </c>
      <c r="E2" s="9">
        <v>0.66874999999999996</v>
      </c>
      <c r="F2" s="30">
        <f>IF(G2 &gt;= 8, 4 + COUNT(B2:E2), IF(AND(G2 &gt;= 4, G2 &lt;= 7), 2 + COUNT(B2:E2), COUNT(B2:E2)))</f>
        <v>4</v>
      </c>
      <c r="G2" s="10"/>
      <c r="H2" s="10">
        <f>SUM(C2 - B2) * 24</f>
        <v>5.0333333333333341</v>
      </c>
      <c r="I2" s="11">
        <f>SUM(E2 - D2) * 24</f>
        <v>3.3499999999999988</v>
      </c>
      <c r="J2" s="12">
        <f>H2 + I2 + G2</f>
        <v>8.3833333333333329</v>
      </c>
      <c r="K2" s="13">
        <f>IF(AND(C2 &lt;&gt; "", D2 &lt;&gt; ""), (SUM(D2 - C2) * 1440), " - ")</f>
        <v>45</v>
      </c>
      <c r="L2" s="14">
        <f>IF(AND((B2 &lt;&gt; ""), (C2 &lt;&gt; ""), (D2 &lt;&gt; ""), (E2 &lt;&gt; "")), IF((((8 - J2) * 60) + 1) &gt; 0, (((8 - J2) * 60) + 1), (((8 - J2) * 60) - 1)), "-")</f>
        <v>-23.999999999999972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(21st)</v>
      </c>
      <c r="B3" s="8">
        <v>0.28819444444444442</v>
      </c>
      <c r="C3" s="8">
        <v>0.54583333333333328</v>
      </c>
      <c r="D3" s="8">
        <v>0.57638888888888884</v>
      </c>
      <c r="E3" s="9">
        <v>0.66666666666666663</v>
      </c>
      <c r="F3" s="30">
        <f t="shared" ref="F3:F6" si="0">IF(G3 &gt;= 8, 4 + COUNT(B3:E3), IF(AND(G3 &gt;= 4, G3 &lt;= 7), 2 + COUNT(B3:E3), COUNT(B3:E3)))</f>
        <v>4</v>
      </c>
      <c r="G3" s="10"/>
      <c r="H3" s="10">
        <f>SUM(C3 - B3) * 24</f>
        <v>6.1833333333333327</v>
      </c>
      <c r="I3" s="11">
        <f>SUM(E3 - D3) * 24</f>
        <v>2.166666666666667</v>
      </c>
      <c r="J3" s="12">
        <f t="shared" ref="J3:J6" si="1">H3 + I3 + G3</f>
        <v>8.35</v>
      </c>
      <c r="K3" s="13">
        <f>IF(AND(C3 &lt;&gt; "", D3 &lt;&gt; ""), (SUM(D3 - C3) * 1440), " - ")</f>
        <v>44</v>
      </c>
      <c r="L3" s="14">
        <f>IF(AND((B3 &lt;&gt; ""), (C3 &lt;&gt; ""), (D3 &lt;&gt; ""), (E3 &lt;&gt; "")), IF((((8 - J3) * 60) + 1) &gt; 0, (((8 - J3) * 60) + 1), (((8 - J3) * 60) - 1)), "-")</f>
        <v>-21.999999999999979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(22nd)</v>
      </c>
      <c r="B4" s="8">
        <v>0.28819444444444442</v>
      </c>
      <c r="C4" s="8">
        <v>0.58333333333333337</v>
      </c>
      <c r="D4" s="8">
        <v>0.61458333333333337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7.0833333333333348</v>
      </c>
      <c r="I4" s="11">
        <f t="shared" ref="I4:I6" si="3">SUM(E4 - D4) * 24</f>
        <v>1.2499999999999982</v>
      </c>
      <c r="J4" s="12">
        <f t="shared" si="1"/>
        <v>8.3333333333333321</v>
      </c>
      <c r="K4" s="13">
        <f t="shared" ref="K4:K6" si="4">IF(AND(C4 &lt;&gt; "", D4 &lt;&gt; ""), (SUM(D4 - C4) * 1440), " - ")</f>
        <v>45</v>
      </c>
      <c r="L4" s="14">
        <f t="shared" ref="L4:L5" si="5">IF(AND((B4 &lt;&gt; ""), (C4 &lt;&gt; ""), (D4 &lt;&gt; ""), (E4 &lt;&gt; "")), IF((((8 - J4) * 60) + 1) &gt; 0, (((8 - J4) * 60) + 1), (((8 - J4) * 60) - 1)), "-")</f>
        <v>-20.999999999999929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(23rd)</v>
      </c>
      <c r="B5" s="8">
        <v>0.28819444444444442</v>
      </c>
      <c r="C5" s="27"/>
      <c r="D5" s="27"/>
      <c r="E5" s="9">
        <v>0.45833333333333331</v>
      </c>
      <c r="F5" s="30">
        <f t="shared" si="0"/>
        <v>4</v>
      </c>
      <c r="G5" s="28">
        <v>4</v>
      </c>
      <c r="H5" s="10">
        <f t="shared" si="2"/>
        <v>-6.9166666666666661</v>
      </c>
      <c r="I5" s="11">
        <f t="shared" si="3"/>
        <v>11</v>
      </c>
      <c r="J5" s="12">
        <f t="shared" si="1"/>
        <v>8.0833333333333339</v>
      </c>
      <c r="K5" s="13" t="str">
        <f t="shared" si="4"/>
        <v xml:space="preserve"> - </v>
      </c>
      <c r="L5" s="14" t="str">
        <f t="shared" si="5"/>
        <v>-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(24th)</v>
      </c>
      <c r="B6" s="27"/>
      <c r="C6" s="27"/>
      <c r="D6" s="27"/>
      <c r="E6" s="31"/>
      <c r="F6" s="30">
        <f t="shared" si="0"/>
        <v>4</v>
      </c>
      <c r="G6" s="10">
        <v>8</v>
      </c>
      <c r="H6" s="10">
        <f>SUM(C6 - B6) * 24</f>
        <v>0</v>
      </c>
      <c r="I6" s="11">
        <f t="shared" si="3"/>
        <v>0</v>
      </c>
      <c r="J6" s="12">
        <f t="shared" si="1"/>
        <v>8</v>
      </c>
      <c r="K6" s="13" t="str">
        <f t="shared" si="4"/>
        <v xml:space="preserve"> - </v>
      </c>
      <c r="L6" s="14" t="str">
        <f>IF(AND((B6 &lt;&gt; ""), (C6 &lt;&gt; ""), (D6 &lt;&gt; ""), (E6 &lt;&gt; "")), IF((((8 - J6) * 60) + 1) &gt; 0, (((8 - J6) * 60) + 1), (((8 - J6) * 60) - 1)), "-")</f>
        <v>-</v>
      </c>
    </row>
    <row r="7" spans="1:13" ht="36.75" thickBot="1" x14ac:dyDescent="0.6">
      <c r="B7" s="19"/>
      <c r="I7" s="21" t="s">
        <v>10</v>
      </c>
      <c r="J7" s="22">
        <f>SUM(J2:J6)</f>
        <v>41.15</v>
      </c>
      <c r="K7" s="25">
        <f>IF(SUM(K2:K6) &lt;&gt; 0, ((60*5) - SUM(K2:K6)) / 60, 0)</f>
        <v>2.7666666666666666</v>
      </c>
      <c r="L7" s="34">
        <f>IF(SUM(L2:L6) &lt;&gt; 0, (SUM(L2:L6)/ 60), 0) * -1</f>
        <v>1.1166666666666647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-1.1499999999999986</v>
      </c>
      <c r="K9" s="26"/>
    </row>
    <row r="10" spans="1:13" ht="24" thickBot="1" x14ac:dyDescent="0.4">
      <c r="I10" s="32" t="s">
        <v>21</v>
      </c>
      <c r="J10" s="25">
        <f>IF(J7 &lt; 40, "-", J7-40)</f>
        <v>1.1499999999999986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288" priority="3" operator="greaterThan">
      <formula>3</formula>
    </cfRule>
    <cfRule type="cellIs" dxfId="287" priority="4" operator="lessThan">
      <formula>4</formula>
    </cfRule>
  </conditionalFormatting>
  <conditionalFormatting sqref="J2:J6">
    <cfRule type="cellIs" dxfId="286" priority="8" operator="greaterThan">
      <formula>7.99999999</formula>
    </cfRule>
    <cfRule type="cellIs" dxfId="285" priority="9" operator="lessThan">
      <formula>8</formula>
    </cfRule>
  </conditionalFormatting>
  <conditionalFormatting sqref="J7">
    <cfRule type="cellIs" dxfId="284" priority="10" operator="lessThan">
      <formula>40</formula>
    </cfRule>
    <cfRule type="cellIs" dxfId="283" priority="11" operator="greaterThan">
      <formula>39.999999</formula>
    </cfRule>
  </conditionalFormatting>
  <conditionalFormatting sqref="K7">
    <cfRule type="cellIs" dxfId="282" priority="1" operator="greaterThan">
      <formula>0</formula>
    </cfRule>
    <cfRule type="cellIs" dxfId="281" priority="2" operator="lessThan">
      <formula>0</formula>
    </cfRule>
  </conditionalFormatting>
  <conditionalFormatting sqref="L2:L6">
    <cfRule type="cellIs" dxfId="280" priority="5" operator="equal">
      <formula>"-"</formula>
    </cfRule>
    <cfRule type="cellIs" dxfId="279" priority="6" operator="greaterThan">
      <formula>0.1</formula>
    </cfRule>
    <cfRule type="cellIs" dxfId="278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D448C-2CFD-417A-BD85-6D3F7CCB3F58}">
  <sheetPr codeName="Sheet2"/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4" width="15" style="20" bestFit="1" customWidth="1"/>
    <col min="5" max="5" width="12.710937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07/13/2026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(13th)</v>
      </c>
      <c r="B2" s="8">
        <v>0.28819444444444442</v>
      </c>
      <c r="C2" s="8">
        <v>0.50069444444444444</v>
      </c>
      <c r="D2" s="8">
        <v>0.53125</v>
      </c>
      <c r="E2" s="9">
        <v>0.66666666666666663</v>
      </c>
      <c r="F2" s="30">
        <f>IF(G2 &gt;= 8, 4 + COUNT(B2:E2), IF(AND(G2 &gt;= 4, G2 &lt;= 7), 2 + COUNT(B2:E2), COUNT(B2:E2)))</f>
        <v>4</v>
      </c>
      <c r="G2" s="10"/>
      <c r="H2" s="10">
        <f>SUM(C2 - B2) * 24</f>
        <v>5.1000000000000005</v>
      </c>
      <c r="I2" s="11">
        <f>SUM(E2 - D2) * 24</f>
        <v>3.2499999999999991</v>
      </c>
      <c r="J2" s="12">
        <f>H2 + I2 + G2</f>
        <v>8.35</v>
      </c>
      <c r="K2" s="13">
        <f>IF(AND(C2 &lt;&gt; "", D2 &lt;&gt; ""), (SUM(D2 - C2) * 1440), " - ")</f>
        <v>44</v>
      </c>
      <c r="L2" s="14">
        <f>IF(AND((B2 &lt;&gt; ""), (C2 &lt;&gt; ""), (D2 &lt;&gt; ""), (E2 &lt;&gt; "")), IF((((8 - J2) * 60) + 1) &gt; 0, (((8 - J2) * 60) + 1), (((8 - J2) * 60) - 1)), "-")</f>
        <v>-21.999999999999979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(14th)</v>
      </c>
      <c r="B3" s="8">
        <v>0.28819444444444442</v>
      </c>
      <c r="C3" s="8">
        <v>0.56874999999999998</v>
      </c>
      <c r="D3" s="8">
        <v>0.6</v>
      </c>
      <c r="E3" s="9">
        <v>0.66666666666666663</v>
      </c>
      <c r="F3" s="30">
        <f t="shared" ref="F3:F6" si="0">IF(G3 &gt;= 8, 4 + COUNT(B3:E3), IF(AND(G3 &gt;= 4, G3 &lt;= 7), 2 + COUNT(B3:E3), COUNT(B3:E3)))</f>
        <v>4</v>
      </c>
      <c r="G3" s="10"/>
      <c r="H3" s="10">
        <f>SUM(C3 - B3) * 24</f>
        <v>6.7333333333333334</v>
      </c>
      <c r="I3" s="11">
        <f>SUM(E3 - D3) * 24</f>
        <v>1.5999999999999996</v>
      </c>
      <c r="J3" s="12">
        <f t="shared" ref="J3:J6" si="1">H3 + I3 + G3</f>
        <v>8.3333333333333321</v>
      </c>
      <c r="K3" s="13">
        <f>IF(AND(C3 &lt;&gt; "", D3 &lt;&gt; ""), (SUM(D3 - C3) * 1440), " - ")</f>
        <v>45</v>
      </c>
      <c r="L3" s="14">
        <f>IF(AND((B3 &lt;&gt; ""), (C3 &lt;&gt; ""), (D3 &lt;&gt; ""), (E3 &lt;&gt; "")), IF((((8 - J3) * 60) + 1) &gt; 0, (((8 - J3) * 60) + 1), (((8 - J3) * 60) - 1)), "-")</f>
        <v>-20.999999999999929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(15th)</v>
      </c>
      <c r="B4" s="8">
        <v>0.28819444444444442</v>
      </c>
      <c r="C4" s="8">
        <v>0.50555555555555554</v>
      </c>
      <c r="D4" s="8">
        <v>0.53749999999999998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5.2166666666666668</v>
      </c>
      <c r="I4" s="11">
        <f t="shared" ref="I4:I6" si="3">SUM(E4 - D4) * 24</f>
        <v>3.0999999999999996</v>
      </c>
      <c r="J4" s="12">
        <f t="shared" si="1"/>
        <v>8.3166666666666664</v>
      </c>
      <c r="K4" s="13">
        <f t="shared" ref="K4:K6" si="4">IF(AND(C4 &lt;&gt; "", D4 &lt;&gt; ""), (SUM(D4 - C4) * 1440), " - ")</f>
        <v>46</v>
      </c>
      <c r="L4" s="14">
        <f t="shared" ref="L4:L5" si="5">IF(AND((B4 &lt;&gt; ""), (C4 &lt;&gt; ""), (D4 &lt;&gt; ""), (E4 &lt;&gt; "")), IF((((8 - J4) * 60) + 1) &gt; 0, (((8 - J4) * 60) + 1), (((8 - J4) * 60) - 1)), "-")</f>
        <v>-19.999999999999986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(16th)</v>
      </c>
      <c r="B5" s="8">
        <v>0.28819444444444442</v>
      </c>
      <c r="C5" s="8">
        <v>0.54236111111111107</v>
      </c>
      <c r="D5" s="8">
        <v>0.57291666666666663</v>
      </c>
      <c r="E5" s="9">
        <v>0.66805555555555551</v>
      </c>
      <c r="F5" s="30">
        <f t="shared" si="0"/>
        <v>4</v>
      </c>
      <c r="G5" s="28"/>
      <c r="H5" s="10">
        <f t="shared" si="2"/>
        <v>6.1</v>
      </c>
      <c r="I5" s="11">
        <f t="shared" si="3"/>
        <v>2.2833333333333332</v>
      </c>
      <c r="J5" s="12">
        <f t="shared" si="1"/>
        <v>8.3833333333333329</v>
      </c>
      <c r="K5" s="13">
        <f t="shared" si="4"/>
        <v>44</v>
      </c>
      <c r="L5" s="14">
        <f t="shared" si="5"/>
        <v>-23.999999999999972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(17th)</v>
      </c>
      <c r="B6" s="8">
        <v>0.28819444444444442</v>
      </c>
      <c r="C6" s="8">
        <v>0.5541666666666667</v>
      </c>
      <c r="D6" s="8">
        <v>0.5854166666666667</v>
      </c>
      <c r="E6" s="9">
        <v>0.66666666666666663</v>
      </c>
      <c r="F6" s="30">
        <f t="shared" si="0"/>
        <v>4</v>
      </c>
      <c r="G6" s="10"/>
      <c r="H6" s="10">
        <f>SUM(C6 - B6) * 24</f>
        <v>6.3833333333333346</v>
      </c>
      <c r="I6" s="11">
        <f t="shared" si="3"/>
        <v>1.9499999999999984</v>
      </c>
      <c r="J6" s="12">
        <f t="shared" si="1"/>
        <v>8.3333333333333321</v>
      </c>
      <c r="K6" s="13">
        <f t="shared" si="4"/>
        <v>45</v>
      </c>
      <c r="L6" s="14">
        <f>IF(AND((B6 &lt;&gt; ""), (C6 &lt;&gt; ""), (D6 &lt;&gt; ""), (E6 &lt;&gt; "")), IF((((8 - J6) * 60) + 1) &gt; 0, (((8 - J6) * 60) + 1), (((8 - J6) * 60) - 1)), "-")</f>
        <v>-20.999999999999929</v>
      </c>
    </row>
    <row r="7" spans="1:13" ht="36.75" thickBot="1" x14ac:dyDescent="0.6">
      <c r="B7" s="19"/>
      <c r="I7" s="21" t="s">
        <v>10</v>
      </c>
      <c r="J7" s="22">
        <f>SUM(J2:J6)</f>
        <v>41.716666666666654</v>
      </c>
      <c r="K7" s="25">
        <f>IF(SUM(K2:K6) &lt;&gt; 0, ((60*5) - SUM(K2:K6)) / 60, 0)</f>
        <v>1.2666666666666666</v>
      </c>
      <c r="L7" s="34">
        <f>IF(SUM(L2:L6) &lt;&gt; 0, (SUM(L2:L6)/ 60), 0) * -1</f>
        <v>1.7999999999999965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-1.7166666666666544</v>
      </c>
      <c r="K9" s="26"/>
    </row>
    <row r="10" spans="1:13" ht="24" thickBot="1" x14ac:dyDescent="0.4">
      <c r="I10" s="32" t="s">
        <v>21</v>
      </c>
      <c r="J10" s="25">
        <f>IF(J7 &lt; 40, "-", J7-40)</f>
        <v>1.7166666666666544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277" priority="3" operator="greaterThan">
      <formula>3</formula>
    </cfRule>
    <cfRule type="cellIs" dxfId="276" priority="4" operator="lessThan">
      <formula>4</formula>
    </cfRule>
  </conditionalFormatting>
  <conditionalFormatting sqref="J2:J6">
    <cfRule type="cellIs" dxfId="275" priority="8" operator="greaterThan">
      <formula>7.99999999</formula>
    </cfRule>
    <cfRule type="cellIs" dxfId="274" priority="9" operator="lessThan">
      <formula>8</formula>
    </cfRule>
  </conditionalFormatting>
  <conditionalFormatting sqref="J7">
    <cfRule type="cellIs" dxfId="273" priority="10" operator="lessThan">
      <formula>40</formula>
    </cfRule>
    <cfRule type="cellIs" dxfId="272" priority="11" operator="greaterThan">
      <formula>39.999999</formula>
    </cfRule>
  </conditionalFormatting>
  <conditionalFormatting sqref="K7">
    <cfRule type="cellIs" dxfId="271" priority="1" operator="greaterThan">
      <formula>0</formula>
    </cfRule>
    <cfRule type="cellIs" dxfId="270" priority="2" operator="lessThan">
      <formula>0</formula>
    </cfRule>
  </conditionalFormatting>
  <conditionalFormatting sqref="L2:L6">
    <cfRule type="cellIs" dxfId="269" priority="5" operator="equal">
      <formula>"-"</formula>
    </cfRule>
    <cfRule type="cellIs" dxfId="268" priority="6" operator="greaterThan">
      <formula>0.1</formula>
    </cfRule>
    <cfRule type="cellIs" dxfId="267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5E3B-E135-478C-8A0A-5E432540CE71}">
  <sheetPr codeName="Sheet3"/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4" width="15" style="20" bestFit="1" customWidth="1"/>
    <col min="5" max="5" width="12.710937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07/06/2026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(6th)</v>
      </c>
      <c r="B2" s="8">
        <v>0.28819444444444442</v>
      </c>
      <c r="C2" s="8">
        <v>0.5</v>
      </c>
      <c r="D2" s="8">
        <v>0.53125</v>
      </c>
      <c r="E2" s="9">
        <v>0.66666666666666663</v>
      </c>
      <c r="F2" s="30">
        <f>IF(G2 &gt;= 8, 4 + COUNT(B2:E2), IF(AND(G2 &gt;= 4, G2 &lt;= 7), 2 + COUNT(B2:E2), COUNT(B2:E2)))</f>
        <v>4</v>
      </c>
      <c r="G2" s="10"/>
      <c r="H2" s="10">
        <f>SUM(C2 - B2) * 24</f>
        <v>5.0833333333333339</v>
      </c>
      <c r="I2" s="11">
        <f>SUM(E2 - D2) * 24</f>
        <v>3.2499999999999991</v>
      </c>
      <c r="J2" s="12">
        <f>H2 + I2 + G2</f>
        <v>8.3333333333333321</v>
      </c>
      <c r="K2" s="13">
        <f>IF(AND(C2 &lt;&gt; "", D2 &lt;&gt; ""), (SUM(D2 - C2) * 1440), " - ")</f>
        <v>45</v>
      </c>
      <c r="L2" s="14">
        <f>IF(AND((B2 &lt;&gt; ""), (C2 &lt;&gt; ""), (D2 &lt;&gt; ""), (E2 &lt;&gt; "")), IF((((8 - J2) * 60) + 1) &gt; 0, (((8 - J2) * 60) + 1), (((8 - J2) * 60) - 1)), "-")</f>
        <v>-20.999999999999929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(7th)</v>
      </c>
      <c r="B3" s="8">
        <v>0.28819444444444442</v>
      </c>
      <c r="C3" s="8">
        <v>0.50069444444444444</v>
      </c>
      <c r="D3" s="8">
        <v>0.53194444444444444</v>
      </c>
      <c r="E3" s="9">
        <v>0.66666666666666663</v>
      </c>
      <c r="F3" s="30">
        <f t="shared" ref="F3:F6" si="0">IF(G3 &gt;= 8, 4 + COUNT(B3:E3), IF(AND(G3 &gt;= 4, G3 &lt;= 7), 2 + COUNT(B3:E3), COUNT(B3:E3)))</f>
        <v>4</v>
      </c>
      <c r="G3" s="10"/>
      <c r="H3" s="10">
        <f>SUM(C3 - B3) * 24</f>
        <v>5.1000000000000005</v>
      </c>
      <c r="I3" s="11">
        <f>SUM(E3 - D3) * 24</f>
        <v>3.2333333333333325</v>
      </c>
      <c r="J3" s="12">
        <f t="shared" ref="J3:J6" si="1">H3 + I3 + G3</f>
        <v>8.3333333333333321</v>
      </c>
      <c r="K3" s="13">
        <f>IF(AND(C3 &lt;&gt; "", D3 &lt;&gt; ""), (SUM(D3 - C3) * 1440), " - ")</f>
        <v>45</v>
      </c>
      <c r="L3" s="14">
        <f>IF(AND((B3 &lt;&gt; ""), (C3 &lt;&gt; ""), (D3 &lt;&gt; ""), (E3 &lt;&gt; "")), IF((((8 - J3) * 60) + 1) &gt; 0, (((8 - J3) * 60) + 1), (((8 - J3) * 60) - 1)), "-")</f>
        <v>-20.999999999999929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(8th)</v>
      </c>
      <c r="B4" s="8">
        <v>0.28819444444444442</v>
      </c>
      <c r="C4" s="8">
        <v>0.51388888888888884</v>
      </c>
      <c r="D4" s="8">
        <v>0.54513888888888884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5.4166666666666661</v>
      </c>
      <c r="I4" s="11">
        <f t="shared" ref="I4:I6" si="3">SUM(E4 - D4) * 24</f>
        <v>2.916666666666667</v>
      </c>
      <c r="J4" s="12">
        <f t="shared" si="1"/>
        <v>8.3333333333333321</v>
      </c>
      <c r="K4" s="13">
        <f t="shared" ref="K4:K6" si="4">IF(AND(C4 &lt;&gt; "", D4 &lt;&gt; ""), (SUM(D4 - C4) * 1440), " - ")</f>
        <v>45</v>
      </c>
      <c r="L4" s="14">
        <f t="shared" ref="L4:L5" si="5">IF(AND((B4 &lt;&gt; ""), (C4 &lt;&gt; ""), (D4 &lt;&gt; ""), (E4 &lt;&gt; "")), IF((((8 - J4) * 60) + 1) &gt; 0, (((8 - J4) * 60) + 1), (((8 - J4) * 60) - 1)), "-")</f>
        <v>-20.999999999999929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(9th)</v>
      </c>
      <c r="B5" s="8">
        <v>0.28819444444444442</v>
      </c>
      <c r="C5" s="8">
        <v>0.51249999999999996</v>
      </c>
      <c r="D5" s="8">
        <v>0.54305555555555551</v>
      </c>
      <c r="E5" s="9">
        <v>0.66666666666666663</v>
      </c>
      <c r="F5" s="30">
        <f t="shared" si="0"/>
        <v>4</v>
      </c>
      <c r="G5" s="28"/>
      <c r="H5" s="10">
        <f t="shared" si="2"/>
        <v>5.3833333333333329</v>
      </c>
      <c r="I5" s="11">
        <f t="shared" si="3"/>
        <v>2.9666666666666668</v>
      </c>
      <c r="J5" s="12">
        <f t="shared" si="1"/>
        <v>8.35</v>
      </c>
      <c r="K5" s="13">
        <f t="shared" si="4"/>
        <v>44</v>
      </c>
      <c r="L5" s="14">
        <f t="shared" si="5"/>
        <v>-21.999999999999979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(10th)</v>
      </c>
      <c r="B6" s="8">
        <v>0.28819444444444442</v>
      </c>
      <c r="C6" s="8">
        <v>0.51944444444444449</v>
      </c>
      <c r="D6" s="8">
        <v>0.5493055555555556</v>
      </c>
      <c r="E6" s="9">
        <v>0.66666666666666663</v>
      </c>
      <c r="F6" s="30">
        <f t="shared" si="0"/>
        <v>4</v>
      </c>
      <c r="G6" s="10"/>
      <c r="H6" s="10">
        <f>SUM(C6 - B6) * 24</f>
        <v>5.5500000000000016</v>
      </c>
      <c r="I6" s="11">
        <f t="shared" si="3"/>
        <v>2.8166666666666647</v>
      </c>
      <c r="J6" s="12">
        <f t="shared" si="1"/>
        <v>8.3666666666666671</v>
      </c>
      <c r="K6" s="13">
        <f t="shared" si="4"/>
        <v>43.000000000000007</v>
      </c>
      <c r="L6" s="14">
        <f>IF(AND((B6 &lt;&gt; ""), (C6 &lt;&gt; ""), (D6 &lt;&gt; ""), (E6 &lt;&gt; "")), IF((((8 - J6) * 60) + 1) &gt; 0, (((8 - J6) * 60) + 1), (((8 - J6) * 60) - 1)), "-")</f>
        <v>-23.000000000000028</v>
      </c>
    </row>
    <row r="7" spans="1:13" ht="36.75" thickBot="1" x14ac:dyDescent="0.6">
      <c r="B7" s="19"/>
      <c r="I7" s="21" t="s">
        <v>10</v>
      </c>
      <c r="J7" s="22">
        <f>SUM(J2:J6)</f>
        <v>41.716666666666661</v>
      </c>
      <c r="K7" s="25">
        <f>IF(SUM(K2:K6) &lt;&gt; 0, ((60*5) - SUM(K2:K6)) / 60, 0)</f>
        <v>1.3</v>
      </c>
      <c r="L7" s="34">
        <f>IF(SUM(L2:L6) &lt;&gt; 0, (SUM(L2:L6)/ 60), 0) * -1</f>
        <v>1.7999999999999967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-1.7166666666666615</v>
      </c>
      <c r="K9" s="26"/>
    </row>
    <row r="10" spans="1:13" ht="24" thickBot="1" x14ac:dyDescent="0.4">
      <c r="I10" s="32" t="s">
        <v>21</v>
      </c>
      <c r="J10" s="25">
        <f>IF(J7 &lt; 40, "-", J7-40)</f>
        <v>1.7166666666666615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266" priority="3" operator="greaterThan">
      <formula>3</formula>
    </cfRule>
    <cfRule type="cellIs" dxfId="265" priority="4" operator="lessThan">
      <formula>4</formula>
    </cfRule>
  </conditionalFormatting>
  <conditionalFormatting sqref="J2:J6">
    <cfRule type="cellIs" dxfId="264" priority="8" operator="greaterThan">
      <formula>7.99999999</formula>
    </cfRule>
    <cfRule type="cellIs" dxfId="263" priority="9" operator="lessThan">
      <formula>8</formula>
    </cfRule>
  </conditionalFormatting>
  <conditionalFormatting sqref="J7">
    <cfRule type="cellIs" dxfId="262" priority="10" operator="lessThan">
      <formula>40</formula>
    </cfRule>
    <cfRule type="cellIs" dxfId="261" priority="11" operator="greaterThan">
      <formula>39.999999</formula>
    </cfRule>
  </conditionalFormatting>
  <conditionalFormatting sqref="K7">
    <cfRule type="cellIs" dxfId="260" priority="1" operator="greaterThan">
      <formula>0</formula>
    </cfRule>
    <cfRule type="cellIs" dxfId="259" priority="2" operator="lessThan">
      <formula>0</formula>
    </cfRule>
  </conditionalFormatting>
  <conditionalFormatting sqref="L2:L6">
    <cfRule type="cellIs" dxfId="258" priority="5" operator="equal">
      <formula>"-"</formula>
    </cfRule>
    <cfRule type="cellIs" dxfId="257" priority="6" operator="greaterThan">
      <formula>0.1</formula>
    </cfRule>
    <cfRule type="cellIs" dxfId="256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CB53-D379-4DD2-B96A-2E9A2B15DA29}">
  <sheetPr codeName="Sheet4"/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4" width="15" style="20" bestFit="1" customWidth="1"/>
    <col min="5" max="5" width="12.710937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06/29/2026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(29th)</v>
      </c>
      <c r="B2" s="8">
        <v>0.28819444444444442</v>
      </c>
      <c r="C2" s="8">
        <v>0.52222222222222225</v>
      </c>
      <c r="D2" s="8">
        <v>0.55277777777777781</v>
      </c>
      <c r="E2" s="9">
        <v>0.66666666666666663</v>
      </c>
      <c r="F2" s="30">
        <f>IF(G2 &gt;= 8, 4 + COUNT(B2:E2), IF(AND(G2 &gt;= 4, G2 &lt;= 7), 2 + COUNT(B2:E2), COUNT(B2:E2)))</f>
        <v>4</v>
      </c>
      <c r="G2" s="10"/>
      <c r="H2" s="10">
        <f>SUM(C2 - B2) * 24</f>
        <v>5.616666666666668</v>
      </c>
      <c r="I2" s="11">
        <f>SUM(E2 - D2) * 24</f>
        <v>2.7333333333333316</v>
      </c>
      <c r="J2" s="12">
        <f>H2 + I2 + G2</f>
        <v>8.35</v>
      </c>
      <c r="K2" s="13">
        <f>IF(AND(C2 &lt;&gt; "", D2 &lt;&gt; ""), (SUM(D2 - C2) * 1440), " - ")</f>
        <v>44</v>
      </c>
      <c r="L2" s="14">
        <f>IF(AND((B2 &lt;&gt; ""), (C2 &lt;&gt; ""), (D2 &lt;&gt; ""), (E2 &lt;&gt; "")), IF((((8 - J2) * 60) + 1) &gt; 0, (((8 - J2) * 60) + 1), (((8 - J2) * 60) - 1)), "-")</f>
        <v>-21.999999999999979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(30th)</v>
      </c>
      <c r="B3" s="8">
        <v>0.28819444444444442</v>
      </c>
      <c r="C3" s="8">
        <v>0.54513888888888884</v>
      </c>
      <c r="D3" s="8">
        <v>0.5756944444444444</v>
      </c>
      <c r="E3" s="9">
        <v>0.66666666666666663</v>
      </c>
      <c r="F3" s="30">
        <f t="shared" ref="F3:F6" si="0">IF(G3 &gt;= 8, 4 + COUNT(B3:E3), IF(AND(G3 &gt;= 4, G3 &lt;= 7), 2 + COUNT(B3:E3), COUNT(B3:E3)))</f>
        <v>4</v>
      </c>
      <c r="G3" s="10"/>
      <c r="H3" s="10">
        <f>SUM(C3 - B3) * 24</f>
        <v>6.1666666666666661</v>
      </c>
      <c r="I3" s="11">
        <f>SUM(E3 - D3) * 24</f>
        <v>2.1833333333333336</v>
      </c>
      <c r="J3" s="12">
        <f t="shared" ref="J3:J6" si="1">H3 + I3 + G3</f>
        <v>8.35</v>
      </c>
      <c r="K3" s="13">
        <f>IF(AND(C3 &lt;&gt; "", D3 &lt;&gt; ""), (SUM(D3 - C3) * 1440), " - ")</f>
        <v>44</v>
      </c>
      <c r="L3" s="14">
        <f>IF(AND((B3 &lt;&gt; ""), (C3 &lt;&gt; ""), (D3 &lt;&gt; ""), (E3 &lt;&gt; "")), IF((((8 - J3) * 60) + 1) &gt; 0, (((8 - J3) * 60) + 1), (((8 - J3) * 60) - 1)), "-")</f>
        <v>-21.999999999999979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(1st)</v>
      </c>
      <c r="B4" s="8">
        <v>0.28819444444444442</v>
      </c>
      <c r="C4" s="8">
        <v>0.51041666666666663</v>
      </c>
      <c r="D4" s="8">
        <v>0.54166666666666663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5.333333333333333</v>
      </c>
      <c r="I4" s="11">
        <f t="shared" ref="I4:I6" si="3">SUM(E4 - D4) * 24</f>
        <v>3</v>
      </c>
      <c r="J4" s="12">
        <f t="shared" si="1"/>
        <v>8.3333333333333321</v>
      </c>
      <c r="K4" s="13">
        <f t="shared" ref="K4:K6" si="4">IF(AND(C4 &lt;&gt; "", D4 &lt;&gt; ""), (SUM(D4 - C4) * 1440), " - ")</f>
        <v>45</v>
      </c>
      <c r="L4" s="14">
        <f t="shared" ref="L4:L5" si="5">IF(AND((B4 &lt;&gt; ""), (C4 &lt;&gt; ""), (D4 &lt;&gt; ""), (E4 &lt;&gt; "")), IF((((8 - J4) * 60) + 1) &gt; 0, (((8 - J4) * 60) + 1), (((8 - J4) * 60) - 1)), "-")</f>
        <v>-20.999999999999929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(2nd)</v>
      </c>
      <c r="B5" s="8">
        <v>0.29652777777777778</v>
      </c>
      <c r="C5" s="8">
        <v>0.5708333333333333</v>
      </c>
      <c r="D5" s="8">
        <v>0.60138888888888886</v>
      </c>
      <c r="E5" s="9">
        <v>0.66666666666666663</v>
      </c>
      <c r="F5" s="30">
        <f t="shared" si="0"/>
        <v>4</v>
      </c>
      <c r="G5" s="28"/>
      <c r="H5" s="10">
        <f t="shared" si="2"/>
        <v>6.5833333333333321</v>
      </c>
      <c r="I5" s="11">
        <f t="shared" si="3"/>
        <v>1.5666666666666664</v>
      </c>
      <c r="J5" s="12">
        <f t="shared" si="1"/>
        <v>8.1499999999999986</v>
      </c>
      <c r="K5" s="13">
        <f t="shared" si="4"/>
        <v>44</v>
      </c>
      <c r="L5" s="14">
        <f t="shared" si="5"/>
        <v>-9.9999999999999147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(3rd)</v>
      </c>
      <c r="B6" s="27"/>
      <c r="C6" s="27"/>
      <c r="D6" s="27"/>
      <c r="E6" s="31"/>
      <c r="F6" s="30">
        <f t="shared" si="0"/>
        <v>4</v>
      </c>
      <c r="G6" s="10">
        <v>8</v>
      </c>
      <c r="H6" s="10">
        <f>SUM(C6 - B6) * 24</f>
        <v>0</v>
      </c>
      <c r="I6" s="11">
        <f t="shared" si="3"/>
        <v>0</v>
      </c>
      <c r="J6" s="12">
        <f t="shared" si="1"/>
        <v>8</v>
      </c>
      <c r="K6" s="13" t="str">
        <f t="shared" si="4"/>
        <v xml:space="preserve"> - </v>
      </c>
      <c r="L6" s="14" t="str">
        <f>IF(AND((B6 &lt;&gt; ""), (C6 &lt;&gt; ""), (D6 &lt;&gt; ""), (E6 &lt;&gt; "")), IF((((8 - J6) * 60) + 1) &gt; 0, (((8 - J6) * 60) + 1), (((8 - J6) * 60) - 1)), "-")</f>
        <v>-</v>
      </c>
    </row>
    <row r="7" spans="1:13" ht="36.75" thickBot="1" x14ac:dyDescent="0.6">
      <c r="B7" s="19"/>
      <c r="I7" s="21" t="s">
        <v>10</v>
      </c>
      <c r="J7" s="22">
        <f>SUM(J2:J6)</f>
        <v>41.18333333333333</v>
      </c>
      <c r="K7" s="25">
        <f>IF(SUM(K2:K6) &lt;&gt; 0, ((60*5) - SUM(K2:K6)) / 60, 0)</f>
        <v>2.0499999999999998</v>
      </c>
      <c r="L7" s="34">
        <f>IF(SUM(L2:L6) &lt;&gt; 0, (SUM(L2:L6)/ 60), 0) * -1</f>
        <v>1.2499999999999967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-1.18333333333333</v>
      </c>
      <c r="K9" s="26"/>
    </row>
    <row r="10" spans="1:13" ht="24" thickBot="1" x14ac:dyDescent="0.4">
      <c r="I10" s="32" t="s">
        <v>21</v>
      </c>
      <c r="J10" s="25">
        <f>IF(J7 &lt; 40, "-", J7-40)</f>
        <v>1.18333333333333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255" priority="3" operator="greaterThan">
      <formula>3</formula>
    </cfRule>
    <cfRule type="cellIs" dxfId="254" priority="4" operator="lessThan">
      <formula>4</formula>
    </cfRule>
  </conditionalFormatting>
  <conditionalFormatting sqref="J2:J6">
    <cfRule type="cellIs" dxfId="253" priority="8" operator="greaterThan">
      <formula>7.99999999</formula>
    </cfRule>
    <cfRule type="cellIs" dxfId="252" priority="9" operator="lessThan">
      <formula>8</formula>
    </cfRule>
  </conditionalFormatting>
  <conditionalFormatting sqref="J7">
    <cfRule type="cellIs" dxfId="251" priority="10" operator="lessThan">
      <formula>40</formula>
    </cfRule>
    <cfRule type="cellIs" dxfId="250" priority="11" operator="greaterThan">
      <formula>39.999999</formula>
    </cfRule>
  </conditionalFormatting>
  <conditionalFormatting sqref="K7">
    <cfRule type="cellIs" dxfId="249" priority="1" operator="greaterThan">
      <formula>0</formula>
    </cfRule>
    <cfRule type="cellIs" dxfId="248" priority="2" operator="lessThan">
      <formula>0</formula>
    </cfRule>
  </conditionalFormatting>
  <conditionalFormatting sqref="L2:L6">
    <cfRule type="cellIs" dxfId="247" priority="5" operator="equal">
      <formula>"-"</formula>
    </cfRule>
    <cfRule type="cellIs" dxfId="246" priority="6" operator="greaterThan">
      <formula>0.1</formula>
    </cfRule>
    <cfRule type="cellIs" dxfId="245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17B7-31E3-42D5-9A97-21469AA24C23}">
  <sheetPr codeName="Sheet5"/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4" width="15" style="20" bestFit="1" customWidth="1"/>
    <col min="5" max="5" width="12.710937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06/22/2026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(22nd)</v>
      </c>
      <c r="B2" s="8">
        <v>0.28819444444444442</v>
      </c>
      <c r="C2" s="8">
        <v>0.50277777777777777</v>
      </c>
      <c r="D2" s="8">
        <v>0.53333333333333333</v>
      </c>
      <c r="E2" s="9">
        <v>0.66666666666666663</v>
      </c>
      <c r="F2" s="30">
        <f>IF(G2 &gt;= 8, 4 + COUNT(B2:E2), IF(AND(G2 &gt;= 4, G2 &lt;= 7), 2 + COUNT(B2:E2), COUNT(B2:E2)))</f>
        <v>4</v>
      </c>
      <c r="G2" s="10"/>
      <c r="H2" s="10">
        <f>SUM(C2 - B2) * 24</f>
        <v>5.15</v>
      </c>
      <c r="I2" s="11">
        <f>SUM(E2 - D2) * 24</f>
        <v>3.1999999999999993</v>
      </c>
      <c r="J2" s="12">
        <f>H2 + I2 + G2</f>
        <v>8.35</v>
      </c>
      <c r="K2" s="13">
        <f>IF(AND(C2 &lt;&gt; "", D2 &lt;&gt; ""), (SUM(D2 - C2) * 1440), " - ")</f>
        <v>44</v>
      </c>
      <c r="L2" s="14">
        <f>IF(AND((B2 &lt;&gt; ""), (C2 &lt;&gt; ""), (D2 &lt;&gt; ""), (E2 &lt;&gt; "")), IF((((8 - J2) * 60) + 1) &gt; 0, (((8 - J2) * 60) + 1), (((8 - J2) * 60) - 1)), "-")</f>
        <v>-21.999999999999979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(23rd)</v>
      </c>
      <c r="B3" s="27"/>
      <c r="C3" s="27"/>
      <c r="D3" s="27"/>
      <c r="E3" s="31"/>
      <c r="F3" s="30">
        <f t="shared" ref="F3:F6" si="0">IF(G3 &gt;= 8, 4 + COUNT(B3:E3), IF(AND(G3 &gt;= 4, G3 &lt;= 7), 2 + COUNT(B3:E3), COUNT(B3:E3)))</f>
        <v>4</v>
      </c>
      <c r="G3" s="10">
        <v>8</v>
      </c>
      <c r="H3" s="10">
        <f>SUM(C3 - B3) * 24</f>
        <v>0</v>
      </c>
      <c r="I3" s="11">
        <f>SUM(E3 - D3) * 24</f>
        <v>0</v>
      </c>
      <c r="J3" s="12">
        <f t="shared" ref="J3:J6" si="1">H3 + I3 + G3</f>
        <v>8</v>
      </c>
      <c r="K3" s="13" t="str">
        <f>IF(AND(C3 &lt;&gt; "", D3 &lt;&gt; ""), (SUM(D3 - C3) * 1440), " - ")</f>
        <v xml:space="preserve"> - </v>
      </c>
      <c r="L3" s="14" t="str">
        <f>IF(AND((B3 &lt;&gt; ""), (C3 &lt;&gt; ""), (D3 &lt;&gt; ""), (E3 &lt;&gt; "")), IF((((8 - J3) * 60) + 1) &gt; 0, (((8 - J3) * 60) + 1), (((8 - J3) * 60) - 1)), "-")</f>
        <v>-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(24th)</v>
      </c>
      <c r="B4" s="8">
        <v>0.28819444444444442</v>
      </c>
      <c r="C4" s="8">
        <v>0.57708333333333328</v>
      </c>
      <c r="D4" s="8">
        <v>0.6069444444444444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6.9333333333333327</v>
      </c>
      <c r="I4" s="11">
        <f t="shared" ref="I4:I6" si="3">SUM(E4 - D4) * 24</f>
        <v>1.4333333333333336</v>
      </c>
      <c r="J4" s="12">
        <f t="shared" si="1"/>
        <v>8.3666666666666671</v>
      </c>
      <c r="K4" s="13">
        <f t="shared" ref="K4:K6" si="4">IF(AND(C4 &lt;&gt; "", D4 &lt;&gt; ""), (SUM(D4 - C4) * 1440), " - ")</f>
        <v>43.000000000000007</v>
      </c>
      <c r="L4" s="14">
        <f t="shared" ref="L4:L5" si="5">IF(AND((B4 &lt;&gt; ""), (C4 &lt;&gt; ""), (D4 &lt;&gt; ""), (E4 &lt;&gt; "")), IF((((8 - J4) * 60) + 1) &gt; 0, (((8 - J4) * 60) + 1), (((8 - J4) * 60) - 1)), "-")</f>
        <v>-23.000000000000028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(25th)</v>
      </c>
      <c r="B5" s="8">
        <v>0.28819444444444442</v>
      </c>
      <c r="C5" s="8">
        <v>0.52569444444444446</v>
      </c>
      <c r="D5" s="8">
        <v>0.55694444444444446</v>
      </c>
      <c r="E5" s="9">
        <v>0.66666666666666663</v>
      </c>
      <c r="F5" s="30">
        <f t="shared" si="0"/>
        <v>4</v>
      </c>
      <c r="G5" s="28"/>
      <c r="H5" s="10">
        <f t="shared" si="2"/>
        <v>5.7000000000000011</v>
      </c>
      <c r="I5" s="11">
        <f t="shared" si="3"/>
        <v>2.633333333333332</v>
      </c>
      <c r="J5" s="12">
        <f t="shared" si="1"/>
        <v>8.3333333333333321</v>
      </c>
      <c r="K5" s="13">
        <f t="shared" si="4"/>
        <v>45</v>
      </c>
      <c r="L5" s="14">
        <f t="shared" si="5"/>
        <v>-20.999999999999929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(26th)</v>
      </c>
      <c r="B6" s="8">
        <v>0.28888888888888886</v>
      </c>
      <c r="C6" s="8">
        <v>0.49444444444444446</v>
      </c>
      <c r="D6" s="8">
        <v>0.52500000000000002</v>
      </c>
      <c r="E6" s="9">
        <v>0.66666666666666663</v>
      </c>
      <c r="F6" s="30">
        <f t="shared" si="0"/>
        <v>4</v>
      </c>
      <c r="G6" s="10"/>
      <c r="H6" s="10">
        <f>SUM(C6 - B6) * 24</f>
        <v>4.9333333333333345</v>
      </c>
      <c r="I6" s="11">
        <f t="shared" si="3"/>
        <v>3.3999999999999986</v>
      </c>
      <c r="J6" s="12">
        <f t="shared" si="1"/>
        <v>8.3333333333333321</v>
      </c>
      <c r="K6" s="13">
        <f t="shared" si="4"/>
        <v>44</v>
      </c>
      <c r="L6" s="14">
        <f>IF(AND((B6 &lt;&gt; ""), (C6 &lt;&gt; ""), (D6 &lt;&gt; ""), (E6 &lt;&gt; "")), IF((((8 - J6) * 60) + 1) &gt; 0, (((8 - J6) * 60) + 1), (((8 - J6) * 60) - 1)), "-")</f>
        <v>-20.999999999999929</v>
      </c>
    </row>
    <row r="7" spans="1:13" ht="36.75" thickBot="1" x14ac:dyDescent="0.6">
      <c r="B7" s="19"/>
      <c r="I7" s="21" t="s">
        <v>10</v>
      </c>
      <c r="J7" s="22">
        <f>SUM(J2:J6)</f>
        <v>41.383333333333326</v>
      </c>
      <c r="K7" s="25">
        <f>IF(SUM(K2:K6) &lt;&gt; 0, ((60*5) - SUM(K2:K6)) / 60, 0)</f>
        <v>2.0666666666666669</v>
      </c>
      <c r="L7" s="34">
        <f>IF(SUM(L2:L6) &lt;&gt; 0, (SUM(L2:L6)/ 60), 0) * -1</f>
        <v>1.449999999999998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-1.3833333333333258</v>
      </c>
      <c r="K9" s="26"/>
    </row>
    <row r="10" spans="1:13" ht="24" thickBot="1" x14ac:dyDescent="0.4">
      <c r="I10" s="32" t="s">
        <v>21</v>
      </c>
      <c r="J10" s="25">
        <f>IF(J7 &lt; 40, "-", J7-40)</f>
        <v>1.3833333333333258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244" priority="3" operator="greaterThan">
      <formula>3</formula>
    </cfRule>
    <cfRule type="cellIs" dxfId="243" priority="4" operator="lessThan">
      <formula>4</formula>
    </cfRule>
  </conditionalFormatting>
  <conditionalFormatting sqref="J2:J6">
    <cfRule type="cellIs" dxfId="242" priority="8" operator="greaterThan">
      <formula>7.99999999</formula>
    </cfRule>
    <cfRule type="cellIs" dxfId="241" priority="9" operator="lessThan">
      <formula>8</formula>
    </cfRule>
  </conditionalFormatting>
  <conditionalFormatting sqref="J7">
    <cfRule type="cellIs" dxfId="240" priority="10" operator="lessThan">
      <formula>40</formula>
    </cfRule>
    <cfRule type="cellIs" dxfId="239" priority="11" operator="greaterThan">
      <formula>39.999999</formula>
    </cfRule>
  </conditionalFormatting>
  <conditionalFormatting sqref="K7">
    <cfRule type="cellIs" dxfId="238" priority="1" operator="greaterThan">
      <formula>0</formula>
    </cfRule>
    <cfRule type="cellIs" dxfId="237" priority="2" operator="lessThan">
      <formula>0</formula>
    </cfRule>
  </conditionalFormatting>
  <conditionalFormatting sqref="L2:L6">
    <cfRule type="cellIs" dxfId="236" priority="5" operator="equal">
      <formula>"-"</formula>
    </cfRule>
    <cfRule type="cellIs" dxfId="235" priority="6" operator="greaterThan">
      <formula>0.1</formula>
    </cfRule>
    <cfRule type="cellIs" dxfId="234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BA1B-7343-4E05-A088-EE92C857EAFC}">
  <sheetPr codeName="Sheet6"/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4" width="15" style="20" bestFit="1" customWidth="1"/>
    <col min="5" max="5" width="12.710937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06/15/2026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(15th)</v>
      </c>
      <c r="B2" s="8">
        <v>0.28819444444444442</v>
      </c>
      <c r="C2" s="8">
        <v>0.50277777777777777</v>
      </c>
      <c r="D2" s="8">
        <v>0.53402777777777777</v>
      </c>
      <c r="E2" s="9">
        <v>0.66666666666666663</v>
      </c>
      <c r="F2" s="30">
        <f>IF(G2 &gt;= 8, 4 + COUNT(B2:E2), IF(AND(G2 &gt;= 4, G2 &lt;= 7), 2 + COUNT(B2:E2), COUNT(B2:E2)))</f>
        <v>4</v>
      </c>
      <c r="G2" s="10"/>
      <c r="H2" s="10">
        <f>SUM(C2 - B2) * 24</f>
        <v>5.15</v>
      </c>
      <c r="I2" s="11">
        <f>SUM(E2 - D2) * 24</f>
        <v>3.1833333333333327</v>
      </c>
      <c r="J2" s="12">
        <f>H2 + I2 + G2</f>
        <v>8.3333333333333321</v>
      </c>
      <c r="K2" s="13">
        <f>IF(AND(C2 &lt;&gt; "", D2 &lt;&gt; ""), (SUM(D2 - C2) * 1440), " - ")</f>
        <v>45</v>
      </c>
      <c r="L2" s="14">
        <f>IF(AND((B2 &lt;&gt; ""), (C2 &lt;&gt; ""), (D2 &lt;&gt; ""), (E2 &lt;&gt; "")), IF((((8 - J2) * 60) + 1) &gt; 0, (((8 - J2) * 60) + 1), (((8 - J2) * 60) - 1)), "-")</f>
        <v>-20.999999999999929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(16th)</v>
      </c>
      <c r="B3" s="8">
        <v>0.28819444444444442</v>
      </c>
      <c r="C3" s="8">
        <v>0.50138888888888888</v>
      </c>
      <c r="D3" s="8">
        <v>0.53194444444444444</v>
      </c>
      <c r="E3" s="9">
        <v>0.66666666666666663</v>
      </c>
      <c r="F3" s="30">
        <f t="shared" ref="F3:F6" si="0">IF(G3 &gt;= 8, 4 + COUNT(B3:E3), IF(AND(G3 &gt;= 4, G3 &lt;= 7), 2 + COUNT(B3:E3), COUNT(B3:E3)))</f>
        <v>4</v>
      </c>
      <c r="G3" s="10"/>
      <c r="H3" s="10">
        <f>SUM(C3 - B3) * 24</f>
        <v>5.1166666666666671</v>
      </c>
      <c r="I3" s="11">
        <f>SUM(E3 - D3) * 24</f>
        <v>3.2333333333333325</v>
      </c>
      <c r="J3" s="12">
        <f t="shared" ref="J3:J6" si="1">H3 + I3 + G3</f>
        <v>8.35</v>
      </c>
      <c r="K3" s="13">
        <f>IF(AND(C3 &lt;&gt; "", D3 &lt;&gt; ""), (SUM(D3 - C3) * 1440), " - ")</f>
        <v>44</v>
      </c>
      <c r="L3" s="14">
        <f>IF(AND((B3 &lt;&gt; ""), (C3 &lt;&gt; ""), (D3 &lt;&gt; ""), (E3 &lt;&gt; "")), IF((((8 - J3) * 60) + 1) &gt; 0, (((8 - J3) * 60) + 1), (((8 - J3) * 60) - 1)), "-")</f>
        <v>-21.999999999999979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(17th)</v>
      </c>
      <c r="B4" s="8">
        <v>0.28819444444444442</v>
      </c>
      <c r="C4" s="8">
        <v>0.53055555555555556</v>
      </c>
      <c r="D4" s="8">
        <v>0.56180555555555556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5.8166666666666673</v>
      </c>
      <c r="I4" s="11">
        <f t="shared" ref="I4:I6" si="3">SUM(E4 - D4) * 24</f>
        <v>2.5166666666666657</v>
      </c>
      <c r="J4" s="12">
        <f t="shared" si="1"/>
        <v>8.3333333333333321</v>
      </c>
      <c r="K4" s="13">
        <f t="shared" ref="K4:K6" si="4">IF(AND(C4 &lt;&gt; "", D4 &lt;&gt; ""), (SUM(D4 - C4) * 1440), " - ")</f>
        <v>45</v>
      </c>
      <c r="L4" s="14">
        <f t="shared" ref="L4:L5" si="5">IF(AND((B4 &lt;&gt; ""), (C4 &lt;&gt; ""), (D4 &lt;&gt; ""), (E4 &lt;&gt; "")), IF((((8 - J4) * 60) + 1) &gt; 0, (((8 - J4) * 60) + 1), (((8 - J4) * 60) - 1)), "-")</f>
        <v>-20.999999999999929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(18th)</v>
      </c>
      <c r="B5" s="8">
        <v>0.28819444444444442</v>
      </c>
      <c r="C5" s="8">
        <v>0.51875000000000004</v>
      </c>
      <c r="D5" s="8">
        <v>0.55069444444444449</v>
      </c>
      <c r="E5" s="9">
        <v>0.66666666666666663</v>
      </c>
      <c r="F5" s="30">
        <f t="shared" si="0"/>
        <v>4</v>
      </c>
      <c r="G5" s="28"/>
      <c r="H5" s="10">
        <f t="shared" si="2"/>
        <v>5.533333333333335</v>
      </c>
      <c r="I5" s="11">
        <f t="shared" si="3"/>
        <v>2.7833333333333314</v>
      </c>
      <c r="J5" s="12">
        <f t="shared" si="1"/>
        <v>8.3166666666666664</v>
      </c>
      <c r="K5" s="13">
        <f t="shared" si="4"/>
        <v>46</v>
      </c>
      <c r="L5" s="14">
        <f t="shared" si="5"/>
        <v>-19.999999999999986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(19th)</v>
      </c>
      <c r="B6" s="8">
        <v>0.28819444444444442</v>
      </c>
      <c r="C6" s="8">
        <v>0.5</v>
      </c>
      <c r="D6" s="8">
        <v>0.53055555555555556</v>
      </c>
      <c r="E6" s="9">
        <v>0.66666666666666663</v>
      </c>
      <c r="F6" s="30">
        <f t="shared" si="0"/>
        <v>4</v>
      </c>
      <c r="G6" s="10"/>
      <c r="H6" s="10">
        <f>SUM(C6 - B6) * 24</f>
        <v>5.0833333333333339</v>
      </c>
      <c r="I6" s="11">
        <f t="shared" si="3"/>
        <v>3.2666666666666657</v>
      </c>
      <c r="J6" s="12">
        <f t="shared" si="1"/>
        <v>8.35</v>
      </c>
      <c r="K6" s="13">
        <f t="shared" si="4"/>
        <v>44</v>
      </c>
      <c r="L6" s="14">
        <f>IF(AND((B6 &lt;&gt; ""), (C6 &lt;&gt; ""), (D6 &lt;&gt; ""), (E6 &lt;&gt; "")), IF((((8 - J6) * 60) + 1) &gt; 0, (((8 - J6) * 60) + 1), (((8 - J6) * 60) - 1)), "-")</f>
        <v>-21.999999999999979</v>
      </c>
    </row>
    <row r="7" spans="1:13" ht="36.75" thickBot="1" x14ac:dyDescent="0.6">
      <c r="B7" s="19"/>
      <c r="I7" s="21" t="s">
        <v>10</v>
      </c>
      <c r="J7" s="22">
        <f>SUM(J2:J6)</f>
        <v>41.68333333333333</v>
      </c>
      <c r="K7" s="25">
        <f>IF(SUM(K2:K6) &lt;&gt; 0, ((60*5) - SUM(K2:K6)) / 60, 0)</f>
        <v>1.2666666666666666</v>
      </c>
      <c r="L7" s="34">
        <f>IF(SUM(L2:L6) &lt;&gt; 0, (SUM(L2:L6)/ 60), 0) * -1</f>
        <v>1.7666666666666633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-1.68333333333333</v>
      </c>
      <c r="K9" s="26"/>
      <c r="L9" s="15"/>
    </row>
    <row r="10" spans="1:13" ht="24" thickBot="1" x14ac:dyDescent="0.4">
      <c r="I10" s="32" t="s">
        <v>21</v>
      </c>
      <c r="J10" s="25">
        <f>IF(J7 &lt; 40, "-", J7-40)</f>
        <v>1.68333333333333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233" priority="3" operator="greaterThan">
      <formula>3</formula>
    </cfRule>
    <cfRule type="cellIs" dxfId="232" priority="4" operator="lessThan">
      <formula>4</formula>
    </cfRule>
  </conditionalFormatting>
  <conditionalFormatting sqref="J2:J6">
    <cfRule type="cellIs" dxfId="231" priority="8" operator="greaterThan">
      <formula>7.99999999</formula>
    </cfRule>
    <cfRule type="cellIs" dxfId="230" priority="9" operator="lessThan">
      <formula>8</formula>
    </cfRule>
  </conditionalFormatting>
  <conditionalFormatting sqref="J7">
    <cfRule type="cellIs" dxfId="229" priority="10" operator="lessThan">
      <formula>40</formula>
    </cfRule>
    <cfRule type="cellIs" dxfId="228" priority="11" operator="greaterThan">
      <formula>39.999999</formula>
    </cfRule>
  </conditionalFormatting>
  <conditionalFormatting sqref="K7">
    <cfRule type="cellIs" dxfId="227" priority="1" operator="greaterThan">
      <formula>0</formula>
    </cfRule>
    <cfRule type="cellIs" dxfId="226" priority="2" operator="lessThan">
      <formula>0</formula>
    </cfRule>
  </conditionalFormatting>
  <conditionalFormatting sqref="L2:L6">
    <cfRule type="cellIs" dxfId="225" priority="5" operator="equal">
      <formula>"-"</formula>
    </cfRule>
    <cfRule type="cellIs" dxfId="224" priority="6" operator="greaterThan">
      <formula>0.1</formula>
    </cfRule>
    <cfRule type="cellIs" dxfId="223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36AF-B26B-4088-9F12-A3C7FDB6B0E0}">
  <sheetPr codeName="Sheet7"/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4" width="15" style="20" bestFit="1" customWidth="1"/>
    <col min="5" max="5" width="12.710937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06/08/2026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(8th)</v>
      </c>
      <c r="B2" s="8">
        <v>0.28819444444444442</v>
      </c>
      <c r="C2" s="8">
        <v>0.48888888888888887</v>
      </c>
      <c r="D2" s="8">
        <v>0.52013888888888893</v>
      </c>
      <c r="E2" s="9">
        <v>0.66666666666666663</v>
      </c>
      <c r="F2" s="30">
        <f>IF(G2 &gt;= 8, 4 + COUNT(B2:E2), IF(AND(G2 &gt;= 4, G2 &lt;= 7), 2 + COUNT(B2:E2), COUNT(B2:E2)))</f>
        <v>4</v>
      </c>
      <c r="G2" s="10"/>
      <c r="H2" s="10">
        <f>SUM(C2 - B2) * 24</f>
        <v>4.8166666666666664</v>
      </c>
      <c r="I2" s="11">
        <f>SUM(E2 - D2) * 24</f>
        <v>3.5166666666666648</v>
      </c>
      <c r="J2" s="12">
        <f>H2 + I2 + G2</f>
        <v>8.3333333333333321</v>
      </c>
      <c r="K2" s="13">
        <f>IF(AND(C2 &lt;&gt; "", D2 &lt;&gt; ""), (SUM(D2 - C2) * 1440), " - ")</f>
        <v>45.000000000000078</v>
      </c>
      <c r="L2" s="14">
        <f>IF(AND((B2 &lt;&gt; ""), (C2 &lt;&gt; ""), (D2 &lt;&gt; ""), (E2 &lt;&gt; "")), IF((((8 - J2) * 60) + 1) &gt; 0, (((8 - J2) * 60) + 1), (((8 - J2) * 60) - 1)), "-")</f>
        <v>-20.999999999999929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(9th)</v>
      </c>
      <c r="B3" s="8">
        <v>0.28819444444444442</v>
      </c>
      <c r="C3" s="8">
        <v>0.5</v>
      </c>
      <c r="D3" s="8">
        <v>0.53055555555555556</v>
      </c>
      <c r="E3" s="9">
        <v>0.66666666666666663</v>
      </c>
      <c r="F3" s="30">
        <f t="shared" ref="F3:F6" si="0">IF(G3 &gt;= 8, 4 + COUNT(B3:E3), IF(AND(G3 &gt;= 4, G3 &lt;= 7), 2 + COUNT(B3:E3), COUNT(B3:E3)))</f>
        <v>4</v>
      </c>
      <c r="G3" s="10"/>
      <c r="H3" s="10">
        <f>SUM(C3 - B3) * 24</f>
        <v>5.0833333333333339</v>
      </c>
      <c r="I3" s="11">
        <f>SUM(E3 - D3) * 24</f>
        <v>3.2666666666666657</v>
      </c>
      <c r="J3" s="12">
        <f t="shared" ref="J3:J6" si="1">H3 + I3 + G3</f>
        <v>8.35</v>
      </c>
      <c r="K3" s="13">
        <f>IF(AND(C3 &lt;&gt; "", D3 &lt;&gt; ""), (SUM(D3 - C3) * 1440), " - ")</f>
        <v>44</v>
      </c>
      <c r="L3" s="14">
        <f>IF(AND((B3 &lt;&gt; ""), (C3 &lt;&gt; ""), (D3 &lt;&gt; ""), (E3 &lt;&gt; "")), IF((((8 - J3) * 60) + 1) &gt; 0, (((8 - J3) * 60) + 1), (((8 - J3) * 60) - 1)), "-")</f>
        <v>-21.999999999999979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(10th)</v>
      </c>
      <c r="B4" s="8">
        <v>0.28819444444444442</v>
      </c>
      <c r="C4" s="8">
        <v>0.52013888888888893</v>
      </c>
      <c r="D4" s="8">
        <v>0.55138888888888893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5.5666666666666682</v>
      </c>
      <c r="I4" s="11">
        <f t="shared" ref="I4:I6" si="3">SUM(E4 - D4) * 24</f>
        <v>2.7666666666666648</v>
      </c>
      <c r="J4" s="12">
        <f t="shared" si="1"/>
        <v>8.3333333333333321</v>
      </c>
      <c r="K4" s="13">
        <f t="shared" ref="K4:K6" si="4">IF(AND(C4 &lt;&gt; "", D4 &lt;&gt; ""), (SUM(D4 - C4) * 1440), " - ")</f>
        <v>45</v>
      </c>
      <c r="L4" s="14">
        <f t="shared" ref="L4:L5" si="5">IF(AND((B4 &lt;&gt; ""), (C4 &lt;&gt; ""), (D4 &lt;&gt; ""), (E4 &lt;&gt; "")), IF((((8 - J4) * 60) + 1) &gt; 0, (((8 - J4) * 60) + 1), (((8 - J4) * 60) - 1)), "-")</f>
        <v>-20.999999999999929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(11th)</v>
      </c>
      <c r="B5" s="8">
        <v>0.28819444444444442</v>
      </c>
      <c r="C5" s="8">
        <v>0.51111111111111107</v>
      </c>
      <c r="D5" s="8">
        <v>0.54097222222222219</v>
      </c>
      <c r="E5" s="9">
        <v>0.66666666666666663</v>
      </c>
      <c r="F5" s="30">
        <f t="shared" si="0"/>
        <v>4</v>
      </c>
      <c r="G5" s="28"/>
      <c r="H5" s="10">
        <f t="shared" si="2"/>
        <v>5.35</v>
      </c>
      <c r="I5" s="11">
        <f t="shared" si="3"/>
        <v>3.0166666666666666</v>
      </c>
      <c r="J5" s="12">
        <f t="shared" si="1"/>
        <v>8.3666666666666671</v>
      </c>
      <c r="K5" s="13">
        <f t="shared" si="4"/>
        <v>43.000000000000007</v>
      </c>
      <c r="L5" s="14">
        <f t="shared" si="5"/>
        <v>-23.000000000000028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(12th)</v>
      </c>
      <c r="B6" s="8">
        <v>0.28819444444444442</v>
      </c>
      <c r="C6" s="8">
        <v>0.50555555555555554</v>
      </c>
      <c r="D6" s="8">
        <v>0.53541666666666665</v>
      </c>
      <c r="E6" s="9">
        <v>0.66666666666666663</v>
      </c>
      <c r="F6" s="30">
        <f t="shared" si="0"/>
        <v>4</v>
      </c>
      <c r="G6" s="10"/>
      <c r="H6" s="10">
        <f>SUM(C6 - B6) * 24</f>
        <v>5.2166666666666668</v>
      </c>
      <c r="I6" s="11">
        <f t="shared" si="3"/>
        <v>3.1499999999999995</v>
      </c>
      <c r="J6" s="12">
        <f t="shared" si="1"/>
        <v>8.3666666666666671</v>
      </c>
      <c r="K6" s="13">
        <f t="shared" si="4"/>
        <v>43.000000000000007</v>
      </c>
      <c r="L6" s="14">
        <f>IF(AND((B6 &lt;&gt; ""), (C6 &lt;&gt; ""), (D6 &lt;&gt; ""), (E6 &lt;&gt; "")), IF((((8 - J6) * 60) + 1) &gt; 0, (((8 - J6) * 60) + 1), (((8 - J6) * 60) - 1)), "-")</f>
        <v>-23.000000000000028</v>
      </c>
    </row>
    <row r="7" spans="1:13" ht="36.75" thickBot="1" x14ac:dyDescent="0.6">
      <c r="B7" s="19"/>
      <c r="I7" s="21" t="s">
        <v>10</v>
      </c>
      <c r="J7" s="22">
        <f>SUM(J2:J6)</f>
        <v>41.749999999999993</v>
      </c>
      <c r="K7" s="25">
        <f>IF(SUM(K2:K6) &lt;&gt; 0, ((60*5) - SUM(K2:K6)) / 60, 0)</f>
        <v>1.3333333333333319</v>
      </c>
      <c r="L7" s="34">
        <f>IF(SUM(L2:L6) &lt;&gt; 0, (SUM(L2:L6)/ 60), 0) * -1</f>
        <v>1.8333333333333315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-1.7499999999999929</v>
      </c>
      <c r="K9" s="26"/>
    </row>
    <row r="10" spans="1:13" ht="24" thickBot="1" x14ac:dyDescent="0.4">
      <c r="I10" s="32" t="s">
        <v>21</v>
      </c>
      <c r="J10" s="25">
        <f>IF(J7 &lt; 40, "-", J7-40)</f>
        <v>1.7499999999999929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222" priority="3" operator="greaterThan">
      <formula>3</formula>
    </cfRule>
    <cfRule type="cellIs" dxfId="221" priority="4" operator="lessThan">
      <formula>4</formula>
    </cfRule>
  </conditionalFormatting>
  <conditionalFormatting sqref="J2:J6">
    <cfRule type="cellIs" dxfId="220" priority="8" operator="greaterThan">
      <formula>7.99999999</formula>
    </cfRule>
    <cfRule type="cellIs" dxfId="219" priority="9" operator="lessThan">
      <formula>8</formula>
    </cfRule>
  </conditionalFormatting>
  <conditionalFormatting sqref="J7">
    <cfRule type="cellIs" dxfId="218" priority="10" operator="lessThan">
      <formula>40</formula>
    </cfRule>
    <cfRule type="cellIs" dxfId="217" priority="11" operator="greaterThan">
      <formula>39.999999</formula>
    </cfRule>
  </conditionalFormatting>
  <conditionalFormatting sqref="K7">
    <cfRule type="cellIs" dxfId="216" priority="1" operator="greaterThan">
      <formula>0</formula>
    </cfRule>
    <cfRule type="cellIs" dxfId="215" priority="2" operator="lessThan">
      <formula>0</formula>
    </cfRule>
  </conditionalFormatting>
  <conditionalFormatting sqref="L2:L6">
    <cfRule type="cellIs" dxfId="214" priority="5" operator="equal">
      <formula>"-"</formula>
    </cfRule>
    <cfRule type="cellIs" dxfId="213" priority="6" operator="greaterThan">
      <formula>0.1</formula>
    </cfRule>
    <cfRule type="cellIs" dxfId="212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499B9-050F-4A63-AD58-B03C062DE40E}">
  <sheetPr codeName="Sheet8"/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4" width="15" style="20" bestFit="1" customWidth="1"/>
    <col min="5" max="5" width="12.710937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06/01/2026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(1st)</v>
      </c>
      <c r="B2" s="8">
        <v>0.28819444444444442</v>
      </c>
      <c r="C2" s="8">
        <v>0.5</v>
      </c>
      <c r="D2" s="8">
        <v>0.53125</v>
      </c>
      <c r="E2" s="9">
        <v>0.66666666666666663</v>
      </c>
      <c r="F2" s="30">
        <f>IF(G2 &gt;= 8, 4 + COUNT(B2:E2), IF(AND(G2 &gt;= 4, G2 &lt;= 7), 2 + COUNT(B2:E2), COUNT(B2:E2)))</f>
        <v>4</v>
      </c>
      <c r="G2" s="10"/>
      <c r="H2" s="10">
        <f>SUM(C2 - B2) * 24</f>
        <v>5.0833333333333339</v>
      </c>
      <c r="I2" s="11">
        <f>SUM(E2 - D2) * 24</f>
        <v>3.2499999999999991</v>
      </c>
      <c r="J2" s="12">
        <f>H2 + I2 + G2</f>
        <v>8.3333333333333321</v>
      </c>
      <c r="K2" s="13">
        <f>IF(AND(C2 &lt;&gt; "", D2 &lt;&gt; ""), (SUM(D2 - C2) * 1440), " - ")</f>
        <v>45</v>
      </c>
      <c r="L2" s="14">
        <f>IF(AND((B2 &lt;&gt; ""), (C2 &lt;&gt; ""), (D2 &lt;&gt; ""), (E2 &lt;&gt; "")), IF((((8 - J2) * 60) + 1) &gt; 0, (((8 - J2) * 60) + 1), (((8 - J2) * 60) - 1)), "-")</f>
        <v>-20.999999999999929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(2nd)</v>
      </c>
      <c r="B3" s="8">
        <v>0.28819444444444442</v>
      </c>
      <c r="C3" s="8">
        <v>0.47986111111111113</v>
      </c>
      <c r="D3" s="8">
        <v>0.51944444444444449</v>
      </c>
      <c r="E3" s="9">
        <v>0.66666666666666663</v>
      </c>
      <c r="F3" s="30">
        <f t="shared" ref="F3:F6" si="0">IF(G3 &gt;= 8, 4 + COUNT(B3:E3), IF(AND(G3 &gt;= 4, G3 &lt;= 7), 2 + COUNT(B3:E3), COUNT(B3:E3)))</f>
        <v>4</v>
      </c>
      <c r="G3" s="10"/>
      <c r="H3" s="10">
        <f>SUM(C3 - B3) * 24</f>
        <v>4.6000000000000014</v>
      </c>
      <c r="I3" s="11">
        <f>SUM(E3 - D3) * 24</f>
        <v>3.5333333333333314</v>
      </c>
      <c r="J3" s="12">
        <f t="shared" ref="J3:J6" si="1">H3 + I3 + G3</f>
        <v>8.1333333333333329</v>
      </c>
      <c r="K3" s="13">
        <f>IF(AND(C3 &lt;&gt; "", D3 &lt;&gt; ""), (SUM(D3 - C3) * 1440), " - ")</f>
        <v>57.000000000000036</v>
      </c>
      <c r="L3" s="14">
        <f>IF(AND((B3 &lt;&gt; ""), (C3 &lt;&gt; ""), (D3 &lt;&gt; ""), (E3 &lt;&gt; "")), IF((((8 - J3) * 60) + 1) &gt; 0, (((8 - J3) * 60) + 1), (((8 - J3) * 60) - 1)), "-")</f>
        <v>-8.9999999999999716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(3rd)</v>
      </c>
      <c r="B4" s="8">
        <v>0.28888888888888886</v>
      </c>
      <c r="C4" s="8">
        <v>0.51180555555555551</v>
      </c>
      <c r="D4" s="8">
        <v>0.53541666666666665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5.35</v>
      </c>
      <c r="I4" s="11">
        <f t="shared" ref="I4:I6" si="3">SUM(E4 - D4) * 24</f>
        <v>3.1499999999999995</v>
      </c>
      <c r="J4" s="12">
        <f t="shared" si="1"/>
        <v>8.5</v>
      </c>
      <c r="K4" s="13">
        <f t="shared" ref="K4:K6" si="4">IF(AND(C4 &lt;&gt; "", D4 &lt;&gt; ""), (SUM(D4 - C4) * 1440), " - ")</f>
        <v>34.000000000000043</v>
      </c>
      <c r="L4" s="14">
        <f t="shared" ref="L4:L5" si="5">IF(AND((B4 &lt;&gt; ""), (C4 &lt;&gt; ""), (D4 &lt;&gt; ""), (E4 &lt;&gt; "")), IF((((8 - J4) * 60) + 1) &gt; 0, (((8 - J4) * 60) + 1), (((8 - J4) * 60) - 1)), "-")</f>
        <v>-31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(4th)</v>
      </c>
      <c r="B5" s="8">
        <v>0.28888888888888886</v>
      </c>
      <c r="C5" s="8">
        <v>0.50624999999999998</v>
      </c>
      <c r="D5" s="8">
        <v>0.53749999999999998</v>
      </c>
      <c r="E5" s="9">
        <v>0.66666666666666663</v>
      </c>
      <c r="F5" s="30">
        <f t="shared" si="0"/>
        <v>4</v>
      </c>
      <c r="G5" s="28"/>
      <c r="H5" s="10">
        <f t="shared" si="2"/>
        <v>5.2166666666666668</v>
      </c>
      <c r="I5" s="11">
        <f t="shared" si="3"/>
        <v>3.0999999999999996</v>
      </c>
      <c r="J5" s="12">
        <f t="shared" si="1"/>
        <v>8.3166666666666664</v>
      </c>
      <c r="K5" s="13">
        <f t="shared" si="4"/>
        <v>45</v>
      </c>
      <c r="L5" s="14">
        <f t="shared" si="5"/>
        <v>-19.999999999999986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(5th)</v>
      </c>
      <c r="B6" s="8">
        <v>0.28819444444444442</v>
      </c>
      <c r="C6" s="8">
        <v>0.49166666666666664</v>
      </c>
      <c r="D6" s="8">
        <v>0.52152777777777781</v>
      </c>
      <c r="E6" s="9">
        <v>0.66666666666666663</v>
      </c>
      <c r="F6" s="30">
        <f t="shared" si="0"/>
        <v>4</v>
      </c>
      <c r="G6" s="10"/>
      <c r="H6" s="10">
        <f>SUM(C6 - B6) * 24</f>
        <v>4.8833333333333329</v>
      </c>
      <c r="I6" s="11">
        <f t="shared" si="3"/>
        <v>3.4833333333333316</v>
      </c>
      <c r="J6" s="12">
        <f t="shared" si="1"/>
        <v>8.3666666666666636</v>
      </c>
      <c r="K6" s="13">
        <f t="shared" si="4"/>
        <v>43.000000000000085</v>
      </c>
      <c r="L6" s="14">
        <f>IF(AND((B6 &lt;&gt; ""), (C6 &lt;&gt; ""), (D6 &lt;&gt; ""), (E6 &lt;&gt; "")), IF((((8 - J6) * 60) + 1) &gt; 0, (((8 - J6) * 60) + 1), (((8 - J6) * 60) - 1)), "-")</f>
        <v>-22.999999999999815</v>
      </c>
    </row>
    <row r="7" spans="1:13" ht="36.75" thickBot="1" x14ac:dyDescent="0.6">
      <c r="B7" s="19"/>
      <c r="I7" s="21" t="s">
        <v>10</v>
      </c>
      <c r="J7" s="22">
        <f>SUM(J2:J6)</f>
        <v>41.649999999999991</v>
      </c>
      <c r="K7" s="25">
        <f>IF(SUM(K2:K6) &lt;&gt; 0, ((60*5) - SUM(K2:K6)) / 60, 0)</f>
        <v>1.2666666666666644</v>
      </c>
      <c r="L7" s="34">
        <f>IF(SUM(L2:L6) &lt;&gt; 0, (SUM(L2:L6)/ 60), 0) * -1</f>
        <v>1.7333333333333283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-1.6499999999999915</v>
      </c>
      <c r="K9" s="26"/>
    </row>
    <row r="10" spans="1:13" ht="24" thickBot="1" x14ac:dyDescent="0.4">
      <c r="I10" s="32" t="s">
        <v>21</v>
      </c>
      <c r="J10" s="25">
        <f>IF(J7 &lt; 40, "-", J7-40)</f>
        <v>1.6499999999999915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211" priority="3" operator="greaterThan">
      <formula>3</formula>
    </cfRule>
    <cfRule type="cellIs" dxfId="210" priority="4" operator="lessThan">
      <formula>4</formula>
    </cfRule>
  </conditionalFormatting>
  <conditionalFormatting sqref="J2:J6">
    <cfRule type="cellIs" dxfId="209" priority="8" operator="greaterThan">
      <formula>7.99999999</formula>
    </cfRule>
    <cfRule type="cellIs" dxfId="208" priority="9" operator="lessThan">
      <formula>8</formula>
    </cfRule>
  </conditionalFormatting>
  <conditionalFormatting sqref="J7">
    <cfRule type="cellIs" dxfId="207" priority="10" operator="lessThan">
      <formula>40</formula>
    </cfRule>
    <cfRule type="cellIs" dxfId="206" priority="11" operator="greaterThan">
      <formula>39.999999</formula>
    </cfRule>
  </conditionalFormatting>
  <conditionalFormatting sqref="K7">
    <cfRule type="cellIs" dxfId="205" priority="1" operator="greaterThan">
      <formula>0</formula>
    </cfRule>
    <cfRule type="cellIs" dxfId="204" priority="2" operator="lessThan">
      <formula>0</formula>
    </cfRule>
  </conditionalFormatting>
  <conditionalFormatting sqref="L2:L6">
    <cfRule type="cellIs" dxfId="203" priority="5" operator="equal">
      <formula>"-"</formula>
    </cfRule>
    <cfRule type="cellIs" dxfId="202" priority="6" operator="greaterThan">
      <formula>0.1</formula>
    </cfRule>
    <cfRule type="cellIs" dxfId="201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2EDE-7873-4984-BD8B-6BE6DA51A055}">
  <sheetPr codeName="Sheet9"/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4" width="15" style="20" bestFit="1" customWidth="1"/>
    <col min="5" max="5" width="12.710937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05/25/2026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(25th)</v>
      </c>
      <c r="B2" s="27"/>
      <c r="C2" s="27"/>
      <c r="D2" s="27"/>
      <c r="E2" s="31"/>
      <c r="F2" s="30">
        <f>IF(G2 &gt;= 8, 4 + COUNT(B2:E2), IF(AND(G2 &gt;= 4, G2 &lt;= 7), 2 + COUNT(B2:E2), COUNT(B2:E2)))</f>
        <v>4</v>
      </c>
      <c r="G2" s="10">
        <v>8</v>
      </c>
      <c r="H2" s="10">
        <f>SUM(C2 - B2) * 24</f>
        <v>0</v>
      </c>
      <c r="I2" s="11">
        <f>SUM(E2 - D2) * 24</f>
        <v>0</v>
      </c>
      <c r="J2" s="12">
        <f>H2 + I2 + G2</f>
        <v>8</v>
      </c>
      <c r="K2" s="13" t="str">
        <f>IF(AND(C2 &lt;&gt; "", D2 &lt;&gt; ""), (SUM(D2 - C2) * 1440), " - ")</f>
        <v xml:space="preserve"> - </v>
      </c>
      <c r="L2" s="14" t="str">
        <f>IF(AND((B2 &lt;&gt; ""), (C2 &lt;&gt; ""), (D2 &lt;&gt; ""), (E2 &lt;&gt; "")), IF((((8 - J2) * 60) + 1) &gt; 0, (((8 - J2) * 60) + 1), (((8 - J2) * 60) - 1)), "-")</f>
        <v>-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(26th)</v>
      </c>
      <c r="B3" s="8">
        <v>0.28819444444444442</v>
      </c>
      <c r="C3" s="8">
        <v>0.51527777777777772</v>
      </c>
      <c r="D3" s="8">
        <v>0.53749999999999998</v>
      </c>
      <c r="E3" s="9">
        <v>0.64583333333333337</v>
      </c>
      <c r="F3" s="30">
        <f t="shared" ref="F3:F6" si="0">IF(G3 &gt;= 8, 4 + COUNT(B3:E3), IF(AND(G3 &gt;= 4, G3 &lt;= 7), 2 + COUNT(B3:E3), COUNT(B3:E3)))</f>
        <v>4</v>
      </c>
      <c r="G3" s="10">
        <v>0.5</v>
      </c>
      <c r="H3" s="10">
        <f>SUM(C3 - B3) * 24</f>
        <v>5.4499999999999993</v>
      </c>
      <c r="I3" s="11">
        <f>SUM(E3 - D3) * 24</f>
        <v>2.6000000000000014</v>
      </c>
      <c r="J3" s="12">
        <f t="shared" ref="J3:J6" si="1">H3 + I3 + G3</f>
        <v>8.5500000000000007</v>
      </c>
      <c r="K3" s="13">
        <f>IF(AND(C3 &lt;&gt; "", D3 &lt;&gt; ""), (SUM(D3 - C3) * 1440), " - ")</f>
        <v>32.000000000000043</v>
      </c>
      <c r="L3" s="14">
        <f>IF(AND((B3 &lt;&gt; ""), (C3 &lt;&gt; ""), (D3 &lt;&gt; ""), (E3 &lt;&gt; "")), IF((((8 - J3) * 60) + 1) &gt; 0, (((8 - J3) * 60) + 1), (((8 - J3) * 60) - 1)), "-")</f>
        <v>-34.000000000000043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(27th)</v>
      </c>
      <c r="B4" s="8">
        <v>0.28819444444444442</v>
      </c>
      <c r="C4" s="8">
        <v>0.50347222222222221</v>
      </c>
      <c r="D4" s="8">
        <v>0.53402777777777777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5.166666666666667</v>
      </c>
      <c r="I4" s="11">
        <f t="shared" ref="I4:I6" si="3">SUM(E4 - D4) * 24</f>
        <v>3.1833333333333327</v>
      </c>
      <c r="J4" s="12">
        <f t="shared" si="1"/>
        <v>8.35</v>
      </c>
      <c r="K4" s="13">
        <f t="shared" ref="K4:K6" si="4">IF(AND(C4 &lt;&gt; "", D4 &lt;&gt; ""), (SUM(D4 - C4) * 1440), " - ")</f>
        <v>44</v>
      </c>
      <c r="L4" s="14">
        <f t="shared" ref="L4:L5" si="5">IF(AND((B4 &lt;&gt; ""), (C4 &lt;&gt; ""), (D4 &lt;&gt; ""), (E4 &lt;&gt; "")), IF((((8 - J4) * 60) + 1) &gt; 0, (((8 - J4) * 60) + 1), (((8 - J4) * 60) - 1)), "-")</f>
        <v>-21.999999999999979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(28th)</v>
      </c>
      <c r="B5" s="8">
        <v>0.28819444444444442</v>
      </c>
      <c r="C5" s="8">
        <v>0.50763888888888886</v>
      </c>
      <c r="D5" s="8">
        <v>0.53749999999999998</v>
      </c>
      <c r="E5" s="9">
        <v>0.66666666666666663</v>
      </c>
      <c r="F5" s="30">
        <f t="shared" si="0"/>
        <v>4</v>
      </c>
      <c r="G5" s="28"/>
      <c r="H5" s="10">
        <f t="shared" si="2"/>
        <v>5.2666666666666666</v>
      </c>
      <c r="I5" s="11">
        <f t="shared" si="3"/>
        <v>3.0999999999999996</v>
      </c>
      <c r="J5" s="12">
        <f t="shared" si="1"/>
        <v>8.3666666666666671</v>
      </c>
      <c r="K5" s="13">
        <f t="shared" si="4"/>
        <v>43.000000000000007</v>
      </c>
      <c r="L5" s="14">
        <f t="shared" si="5"/>
        <v>-23.000000000000028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(29th)</v>
      </c>
      <c r="B6" s="8">
        <v>0.28819444444444442</v>
      </c>
      <c r="C6" s="8">
        <v>0.50902777777777775</v>
      </c>
      <c r="D6" s="8">
        <v>0.54027777777777775</v>
      </c>
      <c r="E6" s="9">
        <v>0.66666666666666663</v>
      </c>
      <c r="F6" s="30">
        <f t="shared" si="0"/>
        <v>4</v>
      </c>
      <c r="G6" s="10"/>
      <c r="H6" s="10">
        <f>SUM(C6 - B6) * 24</f>
        <v>5.3</v>
      </c>
      <c r="I6" s="11">
        <f t="shared" si="3"/>
        <v>3.0333333333333332</v>
      </c>
      <c r="J6" s="12">
        <f t="shared" si="1"/>
        <v>8.3333333333333321</v>
      </c>
      <c r="K6" s="13">
        <f t="shared" si="4"/>
        <v>45</v>
      </c>
      <c r="L6" s="14">
        <f>IF(AND((B6 &lt;&gt; ""), (C6 &lt;&gt; ""), (D6 &lt;&gt; ""), (E6 &lt;&gt; "")), IF((((8 - J6) * 60) + 1) &gt; 0, (((8 - J6) * 60) + 1), (((8 - J6) * 60) - 1)), "-")</f>
        <v>-20.999999999999929</v>
      </c>
    </row>
    <row r="7" spans="1:13" ht="36.75" thickBot="1" x14ac:dyDescent="0.6">
      <c r="B7" s="19"/>
      <c r="I7" s="21" t="s">
        <v>10</v>
      </c>
      <c r="J7" s="22">
        <f>SUM(J2:J6)</f>
        <v>41.599999999999994</v>
      </c>
      <c r="K7" s="25">
        <f>IF(SUM(K2:K6) &lt;&gt; 0, ((60*5) - SUM(K2:K6)) / 60, 0)</f>
        <v>2.2666666666666657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-1.5999999999999943</v>
      </c>
      <c r="K9" s="26"/>
    </row>
    <row r="10" spans="1:13" ht="24" thickBot="1" x14ac:dyDescent="0.4">
      <c r="I10" s="32" t="s">
        <v>21</v>
      </c>
      <c r="J10" s="25">
        <f>IF(J7 &lt; 40, "-", J7-40)</f>
        <v>1.5999999999999943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200" priority="3" operator="greaterThan">
      <formula>3</formula>
    </cfRule>
    <cfRule type="cellIs" dxfId="199" priority="4" operator="lessThan">
      <formula>4</formula>
    </cfRule>
  </conditionalFormatting>
  <conditionalFormatting sqref="J2:J6">
    <cfRule type="cellIs" dxfId="198" priority="8" operator="greaterThan">
      <formula>7.99999999</formula>
    </cfRule>
    <cfRule type="cellIs" dxfId="197" priority="9" operator="lessThan">
      <formula>8</formula>
    </cfRule>
  </conditionalFormatting>
  <conditionalFormatting sqref="J7">
    <cfRule type="cellIs" dxfId="196" priority="10" operator="lessThan">
      <formula>40</formula>
    </cfRule>
    <cfRule type="cellIs" dxfId="195" priority="11" operator="greaterThan">
      <formula>39.999999</formula>
    </cfRule>
  </conditionalFormatting>
  <conditionalFormatting sqref="K7">
    <cfRule type="cellIs" dxfId="194" priority="1" operator="greaterThan">
      <formula>0</formula>
    </cfRule>
    <cfRule type="cellIs" dxfId="193" priority="2" operator="lessThan">
      <formula>0</formula>
    </cfRule>
  </conditionalFormatting>
  <conditionalFormatting sqref="L2:L6">
    <cfRule type="cellIs" dxfId="192" priority="5" operator="equal">
      <formula>"-"</formula>
    </cfRule>
    <cfRule type="cellIs" dxfId="191" priority="6" operator="greaterThan">
      <formula>0.1</formula>
    </cfRule>
    <cfRule type="cellIs" dxfId="190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CAD13-550A-47AC-814D-87BFC7C1D749}">
  <sheetPr codeName="Sheet10"/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4" width="15" style="20" bestFit="1" customWidth="1"/>
    <col min="5" max="5" width="12.710937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05/18/2026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(18th)</v>
      </c>
      <c r="B2" s="8">
        <v>0.28819444444444442</v>
      </c>
      <c r="C2" s="8">
        <v>0.51180555555555551</v>
      </c>
      <c r="D2" s="8">
        <v>0.54305555555555551</v>
      </c>
      <c r="E2" s="9">
        <v>0.66666666666666663</v>
      </c>
      <c r="F2" s="30">
        <f>IF(G2 &gt;= 8, 4 + COUNT(B2:E2), IF(AND(G2 &gt;= 4, G2 &lt;= 7), 2 + COUNT(B2:E2), COUNT(B2:E2)))</f>
        <v>4</v>
      </c>
      <c r="G2" s="10"/>
      <c r="H2" s="10">
        <f>SUM(C2 - B2) * 24</f>
        <v>5.3666666666666663</v>
      </c>
      <c r="I2" s="11">
        <f>SUM(E2 - D2) * 24</f>
        <v>2.9666666666666668</v>
      </c>
      <c r="J2" s="12">
        <f>H2 + I2 + G2</f>
        <v>8.3333333333333321</v>
      </c>
      <c r="K2" s="13">
        <f>IF(AND(C2 &lt;&gt; "", D2 &lt;&gt; ""), (SUM(D2 - C2) * 1440), " - ")</f>
        <v>45</v>
      </c>
      <c r="L2" s="14">
        <f>IF(AND((B2 &lt;&gt; ""), (C2 &lt;&gt; ""), (D2 &lt;&gt; ""), (E2 &lt;&gt; "")), IF((((8 - J2) * 60) + 1) &gt; 0, (((8 - J2) * 60) + 1), (((8 - J2) * 60) - 1)), "-")</f>
        <v>-20.999999999999929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(19th)</v>
      </c>
      <c r="B3" s="8">
        <v>0.28819444444444442</v>
      </c>
      <c r="C3" s="8">
        <v>0.54861111111111116</v>
      </c>
      <c r="D3" s="8">
        <v>0.57916666666666672</v>
      </c>
      <c r="E3" s="9">
        <v>0.66666666666666663</v>
      </c>
      <c r="F3" s="30">
        <f t="shared" ref="F3:F6" si="0">IF(G3 &gt;= 8, 4 + COUNT(B3:E3), IF(AND(G3 &gt;= 4, G3 &lt;= 7), 2 + COUNT(B3:E3), COUNT(B3:E3)))</f>
        <v>4</v>
      </c>
      <c r="G3" s="10"/>
      <c r="H3" s="10">
        <f>SUM(C3 - B3) * 24</f>
        <v>6.2500000000000018</v>
      </c>
      <c r="I3" s="11">
        <f>SUM(E3 - D3) * 24</f>
        <v>2.0999999999999979</v>
      </c>
      <c r="J3" s="12">
        <f t="shared" ref="J3:J6" si="1">H3 + I3 + G3</f>
        <v>8.35</v>
      </c>
      <c r="K3" s="13">
        <f>IF(AND(C3 &lt;&gt; "", D3 &lt;&gt; ""), (SUM(D3 - C3) * 1440), " - ")</f>
        <v>44</v>
      </c>
      <c r="L3" s="14">
        <f>IF(AND((B3 &lt;&gt; ""), (C3 &lt;&gt; ""), (D3 &lt;&gt; ""), (E3 &lt;&gt; "")), IF((((8 - J3) * 60) + 1) &gt; 0, (((8 - J3) * 60) + 1), (((8 - J3) * 60) - 1)), "-")</f>
        <v>-21.999999999999979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(20th)</v>
      </c>
      <c r="B4" s="8">
        <v>0.28819444444444442</v>
      </c>
      <c r="C4" s="8">
        <v>0.5131944444444444</v>
      </c>
      <c r="D4" s="8">
        <v>0.54374999999999996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5.3999999999999995</v>
      </c>
      <c r="I4" s="11">
        <f t="shared" ref="I4:I6" si="3">SUM(E4 - D4) * 24</f>
        <v>2.95</v>
      </c>
      <c r="J4" s="12">
        <f t="shared" si="1"/>
        <v>8.35</v>
      </c>
      <c r="K4" s="13">
        <f t="shared" ref="K4:K6" si="4">IF(AND(C4 &lt;&gt; "", D4 &lt;&gt; ""), (SUM(D4 - C4) * 1440), " - ")</f>
        <v>44</v>
      </c>
      <c r="L4" s="14">
        <f t="shared" ref="L4:L5" si="5">IF(AND((B4 &lt;&gt; ""), (C4 &lt;&gt; ""), (D4 &lt;&gt; ""), (E4 &lt;&gt; "")), IF((((8 - J4) * 60) + 1) &gt; 0, (((8 - J4) * 60) + 1), (((8 - J4) * 60) - 1)), "-")</f>
        <v>-21.999999999999979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(21st)</v>
      </c>
      <c r="B5" s="8">
        <v>0.28819444444444442</v>
      </c>
      <c r="C5" s="8">
        <v>0.57986111111111116</v>
      </c>
      <c r="D5" s="8">
        <v>0.60902777777777772</v>
      </c>
      <c r="E5" s="9">
        <v>0.66666666666666663</v>
      </c>
      <c r="F5" s="30">
        <f t="shared" si="0"/>
        <v>4</v>
      </c>
      <c r="G5" s="28"/>
      <c r="H5" s="10">
        <f t="shared" si="2"/>
        <v>7.0000000000000018</v>
      </c>
      <c r="I5" s="11">
        <f t="shared" si="3"/>
        <v>1.3833333333333337</v>
      </c>
      <c r="J5" s="12">
        <f t="shared" si="1"/>
        <v>8.3833333333333364</v>
      </c>
      <c r="K5" s="13">
        <f t="shared" si="4"/>
        <v>41.999999999999851</v>
      </c>
      <c r="L5" s="14">
        <f t="shared" si="5"/>
        <v>-24.000000000000185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(22nd)</v>
      </c>
      <c r="B6" s="27"/>
      <c r="C6" s="27"/>
      <c r="D6" s="27"/>
      <c r="E6" s="31"/>
      <c r="F6" s="30">
        <f t="shared" si="0"/>
        <v>4</v>
      </c>
      <c r="G6" s="10">
        <v>8</v>
      </c>
      <c r="H6" s="10">
        <f>SUM(C6 - B6) * 24</f>
        <v>0</v>
      </c>
      <c r="I6" s="11">
        <f t="shared" si="3"/>
        <v>0</v>
      </c>
      <c r="J6" s="12">
        <f t="shared" si="1"/>
        <v>8</v>
      </c>
      <c r="K6" s="13" t="str">
        <f t="shared" si="4"/>
        <v xml:space="preserve"> - </v>
      </c>
      <c r="L6" s="14" t="str">
        <f>IF(AND((B6 &lt;&gt; ""), (C6 &lt;&gt; ""), (D6 &lt;&gt; ""), (E6 &lt;&gt; "")), IF((((8 - J6) * 60) + 1) &gt; 0, (((8 - J6) * 60) + 1), (((8 - J6) * 60) - 1)), "-")</f>
        <v>-</v>
      </c>
    </row>
    <row r="7" spans="1:13" ht="36.75" thickBot="1" x14ac:dyDescent="0.6">
      <c r="B7" s="19"/>
      <c r="I7" s="21" t="s">
        <v>10</v>
      </c>
      <c r="J7" s="22">
        <f>SUM(J2:J6)</f>
        <v>41.416666666666671</v>
      </c>
      <c r="K7" s="25">
        <f>IF(SUM(K2:K6) &lt;&gt; 0, ((60*5) - SUM(K2:K6)) / 60, 0)</f>
        <v>2.0833333333333357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-1.4166666666666714</v>
      </c>
      <c r="K9" s="26"/>
    </row>
    <row r="10" spans="1:13" ht="24" thickBot="1" x14ac:dyDescent="0.4">
      <c r="I10" s="32" t="s">
        <v>21</v>
      </c>
      <c r="J10" s="25">
        <f>IF(J7 &lt; 40, "-", J7-40)</f>
        <v>1.4166666666666714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189" priority="3" operator="greaterThan">
      <formula>3</formula>
    </cfRule>
    <cfRule type="cellIs" dxfId="188" priority="4" operator="lessThan">
      <formula>4</formula>
    </cfRule>
  </conditionalFormatting>
  <conditionalFormatting sqref="J2:J6">
    <cfRule type="cellIs" dxfId="187" priority="8" operator="greaterThan">
      <formula>7.99999999</formula>
    </cfRule>
    <cfRule type="cellIs" dxfId="186" priority="9" operator="lessThan">
      <formula>8</formula>
    </cfRule>
  </conditionalFormatting>
  <conditionalFormatting sqref="J7">
    <cfRule type="cellIs" dxfId="185" priority="10" operator="lessThan">
      <formula>40</formula>
    </cfRule>
    <cfRule type="cellIs" dxfId="184" priority="11" operator="greaterThan">
      <formula>39.999999</formula>
    </cfRule>
  </conditionalFormatting>
  <conditionalFormatting sqref="K7">
    <cfRule type="cellIs" dxfId="183" priority="1" operator="greaterThan">
      <formula>0</formula>
    </cfRule>
    <cfRule type="cellIs" dxfId="182" priority="2" operator="lessThan">
      <formula>0</formula>
    </cfRule>
  </conditionalFormatting>
  <conditionalFormatting sqref="L2:L6">
    <cfRule type="cellIs" dxfId="181" priority="5" operator="equal">
      <formula>"-"</formula>
    </cfRule>
    <cfRule type="cellIs" dxfId="180" priority="6" operator="greaterThan">
      <formula>0.1</formula>
    </cfRule>
    <cfRule type="cellIs" dxfId="179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C944-ACF2-4B78-8F94-9FEAAB92C701}">
  <sheetPr codeName="Sheet11"/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4" width="15" style="20" bestFit="1" customWidth="1"/>
    <col min="5" max="5" width="12.710937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05/11/2026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(11th)</v>
      </c>
      <c r="B2" s="8">
        <v>0.28819444444444442</v>
      </c>
      <c r="C2" s="8">
        <v>0.49236111111111114</v>
      </c>
      <c r="D2" s="8">
        <v>0.5229166666666667</v>
      </c>
      <c r="E2" s="9">
        <v>0.66666666666666663</v>
      </c>
      <c r="F2" s="30">
        <f>IF(G2 &gt;= 8, 4 + COUNT(B2:E2), IF(AND(G2 &gt;= 4, G2 &lt;= 7), 2 + COUNT(B2:E2), COUNT(B2:E2)))</f>
        <v>4</v>
      </c>
      <c r="G2" s="10"/>
      <c r="H2" s="10">
        <f>SUM(C2 - B2) * 24</f>
        <v>4.9000000000000012</v>
      </c>
      <c r="I2" s="11">
        <f>SUM(E2 - D2) * 24</f>
        <v>3.4499999999999984</v>
      </c>
      <c r="J2" s="12">
        <f>H2 + I2 + G2</f>
        <v>8.35</v>
      </c>
      <c r="K2" s="13">
        <f>IF(AND(C2 &lt;&gt; "", D2 &lt;&gt; ""), (SUM(D2 - C2) * 1440), " - ")</f>
        <v>44</v>
      </c>
      <c r="L2" s="14">
        <f>IF(AND((B2 &lt;&gt; ""), (C2 &lt;&gt; ""), (D2 &lt;&gt; ""), (E2 &lt;&gt; "")), IF((((8 - J2) * 60) + 1) &gt; 0, (((8 - J2) * 60) + 1), (((8 - J2) * 60) - 1)), "-")</f>
        <v>-21.999999999999979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(12th)</v>
      </c>
      <c r="B3" s="8">
        <v>0.28819444444444442</v>
      </c>
      <c r="C3" s="8">
        <v>0.52777777777777779</v>
      </c>
      <c r="D3" s="8">
        <v>0.55833333333333335</v>
      </c>
      <c r="E3" s="9">
        <v>0.66666666666666663</v>
      </c>
      <c r="F3" s="30">
        <f t="shared" ref="F3:F6" si="0">IF(G3 &gt;= 8, 4 + COUNT(B3:E3), IF(AND(G3 &gt;= 4, G3 &lt;= 7), 2 + COUNT(B3:E3), COUNT(B3:E3)))</f>
        <v>4</v>
      </c>
      <c r="G3" s="10"/>
      <c r="H3" s="10">
        <f>SUM(C3 - B3) * 24</f>
        <v>5.7500000000000009</v>
      </c>
      <c r="I3" s="11">
        <f>SUM(E3 - D3) * 24</f>
        <v>2.5999999999999988</v>
      </c>
      <c r="J3" s="12">
        <f t="shared" ref="J3:J6" si="1">H3 + I3 + G3</f>
        <v>8.35</v>
      </c>
      <c r="K3" s="13">
        <f>IF(AND(C3 &lt;&gt; "", D3 &lt;&gt; ""), (SUM(D3 - C3) * 1440), " - ")</f>
        <v>44</v>
      </c>
      <c r="L3" s="14">
        <f>IF(AND((B3 &lt;&gt; ""), (C3 &lt;&gt; ""), (D3 &lt;&gt; ""), (E3 &lt;&gt; "")), IF((((8 - J3) * 60) + 1) &gt; 0, (((8 - J3) * 60) + 1), (((8 - J3) * 60) - 1)), "-")</f>
        <v>-21.999999999999979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(13th)</v>
      </c>
      <c r="B4" s="8">
        <v>0.28819444444444442</v>
      </c>
      <c r="C4" s="8">
        <v>0.50347222222222221</v>
      </c>
      <c r="D4" s="8">
        <v>0.53402777777777777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5.166666666666667</v>
      </c>
      <c r="I4" s="11">
        <f t="shared" ref="I4:I6" si="3">SUM(E4 - D4) * 24</f>
        <v>3.1833333333333327</v>
      </c>
      <c r="J4" s="12">
        <f t="shared" si="1"/>
        <v>8.35</v>
      </c>
      <c r="K4" s="13">
        <f t="shared" ref="K4:K6" si="4">IF(AND(C4 &lt;&gt; "", D4 &lt;&gt; ""), (SUM(D4 - C4) * 1440), " - ")</f>
        <v>44</v>
      </c>
      <c r="L4" s="14">
        <f t="shared" ref="L4:L5" si="5">IF(AND((B4 &lt;&gt; ""), (C4 &lt;&gt; ""), (D4 &lt;&gt; ""), (E4 &lt;&gt; "")), IF((((8 - J4) * 60) + 1) &gt; 0, (((8 - J4) * 60) + 1), (((8 - J4) * 60) - 1)), "-")</f>
        <v>-21.999999999999979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(14th)</v>
      </c>
      <c r="B5" s="8">
        <v>0.28819444444444442</v>
      </c>
      <c r="C5" s="8">
        <v>0.55625000000000002</v>
      </c>
      <c r="D5" s="8">
        <v>0.58680555555555558</v>
      </c>
      <c r="E5" s="9">
        <v>0.66666666666666663</v>
      </c>
      <c r="F5" s="30">
        <f t="shared" si="0"/>
        <v>4</v>
      </c>
      <c r="G5" s="28"/>
      <c r="H5" s="10">
        <f t="shared" si="2"/>
        <v>6.4333333333333345</v>
      </c>
      <c r="I5" s="11">
        <f t="shared" si="3"/>
        <v>1.9166666666666652</v>
      </c>
      <c r="J5" s="12">
        <f t="shared" si="1"/>
        <v>8.35</v>
      </c>
      <c r="K5" s="13">
        <f t="shared" si="4"/>
        <v>44</v>
      </c>
      <c r="L5" s="14">
        <f t="shared" si="5"/>
        <v>-21.999999999999979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(15th)</v>
      </c>
      <c r="B6" s="8">
        <v>0.28819444444444442</v>
      </c>
      <c r="C6" s="8">
        <v>0.52986111111111112</v>
      </c>
      <c r="D6" s="8">
        <v>0.56041666666666667</v>
      </c>
      <c r="E6" s="9">
        <v>0.66666666666666663</v>
      </c>
      <c r="F6" s="30">
        <f t="shared" si="0"/>
        <v>4</v>
      </c>
      <c r="G6" s="10"/>
      <c r="H6" s="10">
        <f>SUM(C6 - B6) * 24</f>
        <v>5.8000000000000007</v>
      </c>
      <c r="I6" s="11">
        <f t="shared" si="3"/>
        <v>2.5499999999999989</v>
      </c>
      <c r="J6" s="12">
        <f t="shared" si="1"/>
        <v>8.35</v>
      </c>
      <c r="K6" s="13">
        <f t="shared" si="4"/>
        <v>44</v>
      </c>
      <c r="L6" s="14">
        <f>IF(AND((B6 &lt;&gt; ""), (C6 &lt;&gt; ""), (D6 &lt;&gt; ""), (E6 &lt;&gt; "")), IF((((8 - J6) * 60) + 1) &gt; 0, (((8 - J6) * 60) + 1), (((8 - J6) * 60) - 1)), "-")</f>
        <v>-21.999999999999979</v>
      </c>
    </row>
    <row r="7" spans="1:13" ht="36.75" thickBot="1" x14ac:dyDescent="0.6">
      <c r="B7" s="19"/>
      <c r="I7" s="21" t="s">
        <v>10</v>
      </c>
      <c r="J7" s="22">
        <f>SUM(J2:J6)</f>
        <v>41.75</v>
      </c>
      <c r="K7" s="25">
        <f>IF(SUM(K2:K6) &lt;&gt; 0, ((60*5) - SUM(K2:K6)) / 60, 0)</f>
        <v>1.3333333333333333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-1.75</v>
      </c>
      <c r="K9" s="26"/>
    </row>
    <row r="10" spans="1:13" ht="24" thickBot="1" x14ac:dyDescent="0.4">
      <c r="I10" s="32" t="s">
        <v>21</v>
      </c>
      <c r="J10" s="25">
        <f>IF(J7 &lt; 40, "-", J7-40)</f>
        <v>1.75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178" priority="3" operator="greaterThan">
      <formula>3</formula>
    </cfRule>
    <cfRule type="cellIs" dxfId="177" priority="4" operator="lessThan">
      <formula>4</formula>
    </cfRule>
  </conditionalFormatting>
  <conditionalFormatting sqref="J2:J6">
    <cfRule type="cellIs" dxfId="176" priority="8" operator="greaterThan">
      <formula>7.99999999</formula>
    </cfRule>
    <cfRule type="cellIs" dxfId="175" priority="9" operator="lessThan">
      <formula>8</formula>
    </cfRule>
  </conditionalFormatting>
  <conditionalFormatting sqref="J7">
    <cfRule type="cellIs" dxfId="174" priority="10" operator="lessThan">
      <formula>40</formula>
    </cfRule>
    <cfRule type="cellIs" dxfId="173" priority="11" operator="greaterThan">
      <formula>39.999999</formula>
    </cfRule>
  </conditionalFormatting>
  <conditionalFormatting sqref="K7">
    <cfRule type="cellIs" dxfId="172" priority="1" operator="greaterThan">
      <formula>0</formula>
    </cfRule>
    <cfRule type="cellIs" dxfId="171" priority="2" operator="lessThan">
      <formula>0</formula>
    </cfRule>
  </conditionalFormatting>
  <conditionalFormatting sqref="L2:L6">
    <cfRule type="cellIs" dxfId="170" priority="5" operator="equal">
      <formula>"-"</formula>
    </cfRule>
    <cfRule type="cellIs" dxfId="169" priority="6" operator="greaterThan">
      <formula>0.1</formula>
    </cfRule>
    <cfRule type="cellIs" dxfId="168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FE7D-7614-4F7F-B0B0-8B0AD836CA96}">
  <sheetPr codeName="Sheet12"/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4" width="15" style="20" bestFit="1" customWidth="1"/>
    <col min="5" max="5" width="12.710937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05/04/2026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(4th)</v>
      </c>
      <c r="B2" s="8">
        <v>0.28819444444444442</v>
      </c>
      <c r="C2" s="8">
        <v>0.51944444444444449</v>
      </c>
      <c r="D2" s="8">
        <v>0.5493055555555556</v>
      </c>
      <c r="E2" s="9">
        <v>0.66666666666666663</v>
      </c>
      <c r="F2" s="30">
        <f>IF(G2 &gt;= 8, 4 + COUNT(B2:E2), IF(AND(G2 &gt;= 4, G2 &lt;= 7), 2 + COUNT(B2:E2), COUNT(B2:E2)))</f>
        <v>4</v>
      </c>
      <c r="G2" s="10"/>
      <c r="H2" s="10">
        <f>SUM(C2 - B2) * 24</f>
        <v>5.5500000000000016</v>
      </c>
      <c r="I2" s="11">
        <f>SUM(E2 - D2) * 24</f>
        <v>2.8166666666666647</v>
      </c>
      <c r="J2" s="12">
        <f>H2 + I2 + G2</f>
        <v>8.3666666666666671</v>
      </c>
      <c r="K2" s="13">
        <f>IF(AND(C2 &lt;&gt; "", D2 &lt;&gt; ""), (SUM(D2 - C2) * 1440), " - ")</f>
        <v>43.000000000000007</v>
      </c>
      <c r="L2" s="14">
        <f>IF(AND((B2 &lt;&gt; ""), (C2 &lt;&gt; ""), (D2 &lt;&gt; ""), (E2 &lt;&gt; "")), IF((((8 - J2) * 60) + 1) &gt; 0, (((8 - J2) * 60) + 1), (((8 - J2) * 60) - 1)), "-")</f>
        <v>-23.000000000000028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(5th)</v>
      </c>
      <c r="B3" s="8">
        <v>0.28819444444444442</v>
      </c>
      <c r="C3" s="8">
        <v>0.51111111111111107</v>
      </c>
      <c r="D3" s="8">
        <v>0.54236111111111107</v>
      </c>
      <c r="E3" s="9">
        <v>0.66666666666666663</v>
      </c>
      <c r="F3" s="30">
        <f t="shared" ref="F3:F6" si="0">IF(G3 &gt;= 8, 4 + COUNT(B3:E3), IF(AND(G3 &gt;= 4, G3 &lt;= 7), 2 + COUNT(B3:E3), COUNT(B3:E3)))</f>
        <v>4</v>
      </c>
      <c r="G3" s="10"/>
      <c r="H3" s="10">
        <f>SUM(C3 - B3) * 24</f>
        <v>5.35</v>
      </c>
      <c r="I3" s="11">
        <f>SUM(E3 - D3) * 24</f>
        <v>2.9833333333333334</v>
      </c>
      <c r="J3" s="12">
        <f t="shared" ref="J3:J6" si="1">H3 + I3 + G3</f>
        <v>8.3333333333333321</v>
      </c>
      <c r="K3" s="13">
        <f>IF(AND(C3 &lt;&gt; "", D3 &lt;&gt; ""), (SUM(D3 - C3) * 1440), " - ")</f>
        <v>45</v>
      </c>
      <c r="L3" s="14">
        <f>IF(AND((B3 &lt;&gt; ""), (C3 &lt;&gt; ""), (D3 &lt;&gt; ""), (E3 &lt;&gt; "")), IF((((8 - J3) * 60) + 1) &gt; 0, (((8 - J3) * 60) + 1), (((8 - J3) * 60) - 1)), "-")</f>
        <v>-20.999999999999929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(6th)</v>
      </c>
      <c r="B4" s="8">
        <v>0.28819444444444442</v>
      </c>
      <c r="C4" s="8">
        <v>0.50763888888888886</v>
      </c>
      <c r="D4" s="8">
        <v>0.53819444444444442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5.2666666666666666</v>
      </c>
      <c r="I4" s="11">
        <f t="shared" ref="I4:I6" si="3">SUM(E4 - D4) * 24</f>
        <v>3.083333333333333</v>
      </c>
      <c r="J4" s="12">
        <f t="shared" si="1"/>
        <v>8.35</v>
      </c>
      <c r="K4" s="13">
        <f t="shared" ref="K4:K6" si="4">IF(AND(C4 &lt;&gt; "", D4 &lt;&gt; ""), (SUM(D4 - C4) * 1440), " - ")</f>
        <v>44</v>
      </c>
      <c r="L4" s="14">
        <f t="shared" ref="L4:L5" si="5">IF(AND((B4 &lt;&gt; ""), (C4 &lt;&gt; ""), (D4 &lt;&gt; ""), (E4 &lt;&gt; "")), IF((((8 - J4) * 60) + 1) &gt; 0, (((8 - J4) * 60) + 1), (((8 - J4) * 60) - 1)), "-")</f>
        <v>-21.999999999999979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(7th)</v>
      </c>
      <c r="B5" s="8">
        <v>0.28819444444444442</v>
      </c>
      <c r="C5" s="8">
        <v>0.49791666666666667</v>
      </c>
      <c r="D5" s="8">
        <v>0.53333333333333333</v>
      </c>
      <c r="E5" s="9">
        <v>0.66666666666666663</v>
      </c>
      <c r="F5" s="30">
        <f t="shared" si="0"/>
        <v>4</v>
      </c>
      <c r="G5" s="28"/>
      <c r="H5" s="10">
        <f t="shared" si="2"/>
        <v>5.0333333333333341</v>
      </c>
      <c r="I5" s="11">
        <f t="shared" si="3"/>
        <v>3.1999999999999993</v>
      </c>
      <c r="J5" s="12">
        <f t="shared" si="1"/>
        <v>8.2333333333333343</v>
      </c>
      <c r="K5" s="13">
        <f t="shared" si="4"/>
        <v>50.999999999999979</v>
      </c>
      <c r="L5" s="14">
        <f t="shared" si="5"/>
        <v>-15.000000000000057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(8th)</v>
      </c>
      <c r="B6" s="27"/>
      <c r="C6" s="27"/>
      <c r="D6" s="27"/>
      <c r="E6" s="31"/>
      <c r="F6" s="30">
        <f t="shared" si="0"/>
        <v>4</v>
      </c>
      <c r="G6" s="10">
        <v>8</v>
      </c>
      <c r="H6" s="10">
        <f>SUM(C6 - B6) * 24</f>
        <v>0</v>
      </c>
      <c r="I6" s="11">
        <f t="shared" si="3"/>
        <v>0</v>
      </c>
      <c r="J6" s="12">
        <f t="shared" si="1"/>
        <v>8</v>
      </c>
      <c r="K6" s="13" t="str">
        <f t="shared" si="4"/>
        <v xml:space="preserve"> - </v>
      </c>
      <c r="L6" s="14" t="str">
        <f>IF(AND((B6 &lt;&gt; ""), (C6 &lt;&gt; ""), (D6 &lt;&gt; ""), (E6 &lt;&gt; "")), IF((((8 - J6) * 60) + 1) &gt; 0, (((8 - J6) * 60) + 1), (((8 - J6) * 60) - 1)), "-")</f>
        <v>-</v>
      </c>
    </row>
    <row r="7" spans="1:13" ht="36.75" thickBot="1" x14ac:dyDescent="0.6">
      <c r="B7" s="19"/>
      <c r="I7" s="21" t="s">
        <v>10</v>
      </c>
      <c r="J7" s="22">
        <f>SUM(J2:J6)</f>
        <v>41.283333333333331</v>
      </c>
      <c r="K7" s="25">
        <f>IF(SUM(K2:K6) &lt;&gt; 0, ((60*5) - SUM(K2:K6)) / 60, 0)</f>
        <v>1.9500000000000004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-1.2833333333333314</v>
      </c>
      <c r="K9" s="26"/>
    </row>
    <row r="10" spans="1:13" ht="24" thickBot="1" x14ac:dyDescent="0.4">
      <c r="I10" s="32" t="s">
        <v>21</v>
      </c>
      <c r="J10" s="25">
        <f>IF(J7 &lt; 40, "-", J7-40)</f>
        <v>1.2833333333333314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167" priority="3" operator="greaterThan">
      <formula>3</formula>
    </cfRule>
    <cfRule type="cellIs" dxfId="166" priority="4" operator="lessThan">
      <formula>4</formula>
    </cfRule>
  </conditionalFormatting>
  <conditionalFormatting sqref="J2:J6">
    <cfRule type="cellIs" dxfId="165" priority="8" operator="greaterThan">
      <formula>7.99999999</formula>
    </cfRule>
    <cfRule type="cellIs" dxfId="164" priority="9" operator="lessThan">
      <formula>8</formula>
    </cfRule>
  </conditionalFormatting>
  <conditionalFormatting sqref="J7">
    <cfRule type="cellIs" dxfId="163" priority="10" operator="lessThan">
      <formula>40</formula>
    </cfRule>
    <cfRule type="cellIs" dxfId="162" priority="11" operator="greaterThan">
      <formula>39.999999</formula>
    </cfRule>
  </conditionalFormatting>
  <conditionalFormatting sqref="K7">
    <cfRule type="cellIs" dxfId="161" priority="1" operator="greaterThan">
      <formula>0</formula>
    </cfRule>
    <cfRule type="cellIs" dxfId="160" priority="2" operator="lessThan">
      <formula>0</formula>
    </cfRule>
  </conditionalFormatting>
  <conditionalFormatting sqref="L2:L6">
    <cfRule type="cellIs" dxfId="159" priority="5" operator="equal">
      <formula>"-"</formula>
    </cfRule>
    <cfRule type="cellIs" dxfId="158" priority="6" operator="greaterThan">
      <formula>0.1</formula>
    </cfRule>
    <cfRule type="cellIs" dxfId="157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38E4F-E691-46C6-97FD-EC7175A0C027}">
  <sheetPr codeName="Sheet13"/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4" width="15" style="20" bestFit="1" customWidth="1"/>
    <col min="5" max="5" width="12.710937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04/27/2026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(27th)</v>
      </c>
      <c r="B2" s="8">
        <v>0.28819444444444442</v>
      </c>
      <c r="C2" s="8">
        <v>0.51111111111111107</v>
      </c>
      <c r="D2" s="8">
        <v>0.54236111111111107</v>
      </c>
      <c r="E2" s="9">
        <v>0.66666666666666663</v>
      </c>
      <c r="F2" s="30">
        <f>IF(G2 &gt;= 8, 4 + COUNT(B2:E2), IF(AND(G2 &gt;= 4, G2 &lt;= 7), 2 + COUNT(B2:E2), COUNT(B2:E2)))</f>
        <v>4</v>
      </c>
      <c r="G2" s="10"/>
      <c r="H2" s="10">
        <f>SUM(C2 - B2) * 24</f>
        <v>5.35</v>
      </c>
      <c r="I2" s="11">
        <f>SUM(E2 - D2) * 24</f>
        <v>2.9833333333333334</v>
      </c>
      <c r="J2" s="12">
        <f>H2 + I2 + G2</f>
        <v>8.3333333333333321</v>
      </c>
      <c r="K2" s="13">
        <f>IF(AND(C2 &lt;&gt; "", D2 &lt;&gt; ""), (SUM(D2 - C2) * 1440), " - ")</f>
        <v>45</v>
      </c>
      <c r="L2" s="14">
        <f>IF(AND((B2 &lt;&gt; ""), (C2 &lt;&gt; ""), (D2 &lt;&gt; ""), (E2 &lt;&gt; "")), IF((((8 - J2) * 60) + 1) &gt; 0, (((8 - J2) * 60) + 1), (((8 - J2) * 60) - 1)), "-")</f>
        <v>-20.999999999999929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(28th)</v>
      </c>
      <c r="B3" s="8">
        <v>0.28819444444444442</v>
      </c>
      <c r="C3" s="8">
        <v>0.53333333333333333</v>
      </c>
      <c r="D3" s="8">
        <v>0.56388888888888888</v>
      </c>
      <c r="E3" s="9">
        <v>0.66666666666666663</v>
      </c>
      <c r="F3" s="30">
        <f t="shared" ref="F3:F6" si="0">IF(G3 &gt;= 8, 4 + COUNT(B3:E3), IF(AND(G3 &gt;= 4, G3 &lt;= 7), 2 + COUNT(B3:E3), COUNT(B3:E3)))</f>
        <v>4</v>
      </c>
      <c r="G3" s="10"/>
      <c r="H3" s="10">
        <f>SUM(C3 - B3) * 24</f>
        <v>5.8833333333333337</v>
      </c>
      <c r="I3" s="11">
        <f>SUM(E3 - D3) * 24</f>
        <v>2.4666666666666659</v>
      </c>
      <c r="J3" s="12">
        <f t="shared" ref="J3:J6" si="1">H3 + I3 + G3</f>
        <v>8.35</v>
      </c>
      <c r="K3" s="13">
        <f>IF(AND(C3 &lt;&gt; "", D3 &lt;&gt; ""), (SUM(D3 - C3) * 1440), " - ")</f>
        <v>44</v>
      </c>
      <c r="L3" s="14">
        <f>IF(AND((B3 &lt;&gt; ""), (C3 &lt;&gt; ""), (D3 &lt;&gt; ""), (E3 &lt;&gt; "")), IF((((8 - J3) * 60) + 1) &gt; 0, (((8 - J3) * 60) + 1), (((8 - J3) * 60) - 1)), "-")</f>
        <v>-21.999999999999979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(29th)</v>
      </c>
      <c r="B4" s="8">
        <v>0.28819444444444442</v>
      </c>
      <c r="C4" s="8">
        <v>0.49236111111111114</v>
      </c>
      <c r="D4" s="8">
        <v>0.5229166666666667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4.9000000000000012</v>
      </c>
      <c r="I4" s="11">
        <f t="shared" ref="I4:I6" si="3">SUM(E4 - D4) * 24</f>
        <v>3.4499999999999984</v>
      </c>
      <c r="J4" s="12">
        <f t="shared" si="1"/>
        <v>8.35</v>
      </c>
      <c r="K4" s="13">
        <f t="shared" ref="K4:K6" si="4">IF(AND(C4 &lt;&gt; "", D4 &lt;&gt; ""), (SUM(D4 - C4) * 1440), " - ")</f>
        <v>44</v>
      </c>
      <c r="L4" s="14">
        <f t="shared" ref="L4:L5" si="5">IF(AND((B4 &lt;&gt; ""), (C4 &lt;&gt; ""), (D4 &lt;&gt; ""), (E4 &lt;&gt; "")), IF((((8 - J4) * 60) + 1) &gt; 0, (((8 - J4) * 60) + 1), (((8 - J4) * 60) - 1)), "-")</f>
        <v>-21.999999999999979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(30th)</v>
      </c>
      <c r="B5" s="8">
        <v>0.28819444444444442</v>
      </c>
      <c r="C5" s="8">
        <v>0.56458333333333333</v>
      </c>
      <c r="D5" s="8">
        <v>0.59513888888888888</v>
      </c>
      <c r="E5" s="9">
        <v>0.66666666666666663</v>
      </c>
      <c r="F5" s="30">
        <f t="shared" si="0"/>
        <v>4</v>
      </c>
      <c r="G5" s="28"/>
      <c r="H5" s="10">
        <f t="shared" si="2"/>
        <v>6.6333333333333337</v>
      </c>
      <c r="I5" s="11">
        <f t="shared" si="3"/>
        <v>1.7166666666666659</v>
      </c>
      <c r="J5" s="12">
        <f t="shared" si="1"/>
        <v>8.35</v>
      </c>
      <c r="K5" s="13">
        <f t="shared" si="4"/>
        <v>44</v>
      </c>
      <c r="L5" s="14">
        <f t="shared" si="5"/>
        <v>-21.999999999999979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(1st)</v>
      </c>
      <c r="B6" s="8">
        <v>0.29097222222222224</v>
      </c>
      <c r="C6" s="8">
        <v>0.49236111111111114</v>
      </c>
      <c r="D6" s="8">
        <v>0.5229166666666667</v>
      </c>
      <c r="E6" s="9">
        <v>0.66666666666666663</v>
      </c>
      <c r="F6" s="30">
        <f t="shared" si="0"/>
        <v>4</v>
      </c>
      <c r="G6" s="10"/>
      <c r="H6" s="10">
        <f>SUM(C6 - B6) * 24</f>
        <v>4.8333333333333339</v>
      </c>
      <c r="I6" s="11">
        <f t="shared" si="3"/>
        <v>3.4499999999999984</v>
      </c>
      <c r="J6" s="12">
        <f t="shared" si="1"/>
        <v>8.2833333333333314</v>
      </c>
      <c r="K6" s="13">
        <f t="shared" si="4"/>
        <v>44</v>
      </c>
      <c r="L6" s="14">
        <f>IF(AND((B6 &lt;&gt; ""), (C6 &lt;&gt; ""), (D6 &lt;&gt; ""), (E6 &lt;&gt; "")), IF((((8 - J6) * 60) + 1) &gt; 0, (((8 - J6) * 60) + 1), (((8 - J6) * 60) - 1)), "-")</f>
        <v>-17.999999999999886</v>
      </c>
    </row>
    <row r="7" spans="1:13" ht="36.75" thickBot="1" x14ac:dyDescent="0.6">
      <c r="B7" s="19"/>
      <c r="I7" s="21" t="s">
        <v>10</v>
      </c>
      <c r="J7" s="22">
        <f>SUM(J2:J6)</f>
        <v>41.666666666666664</v>
      </c>
      <c r="K7" s="25">
        <f>IF(SUM(K2:K6) &lt;&gt; 0, ((60*5) - SUM(K2:K6)) / 60, 0)</f>
        <v>1.3166666666666667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-1.6666666666666643</v>
      </c>
      <c r="K9" s="26"/>
    </row>
    <row r="10" spans="1:13" ht="24" thickBot="1" x14ac:dyDescent="0.4">
      <c r="I10" s="32" t="s">
        <v>21</v>
      </c>
      <c r="J10" s="25">
        <f>IF(J7 &lt; 40, "-", J7-40)</f>
        <v>1.6666666666666643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156" priority="3" operator="greaterThan">
      <formula>3</formula>
    </cfRule>
    <cfRule type="cellIs" dxfId="155" priority="4" operator="lessThan">
      <formula>4</formula>
    </cfRule>
  </conditionalFormatting>
  <conditionalFormatting sqref="J2:J6">
    <cfRule type="cellIs" dxfId="154" priority="8" operator="greaterThan">
      <formula>7.99999999</formula>
    </cfRule>
    <cfRule type="cellIs" dxfId="153" priority="9" operator="lessThan">
      <formula>8</formula>
    </cfRule>
  </conditionalFormatting>
  <conditionalFormatting sqref="J7">
    <cfRule type="cellIs" dxfId="152" priority="10" operator="lessThan">
      <formula>40</formula>
    </cfRule>
    <cfRule type="cellIs" dxfId="151" priority="11" operator="greaterThan">
      <formula>39.999999</formula>
    </cfRule>
  </conditionalFormatting>
  <conditionalFormatting sqref="K7">
    <cfRule type="cellIs" dxfId="150" priority="1" operator="greaterThan">
      <formula>0</formula>
    </cfRule>
    <cfRule type="cellIs" dxfId="149" priority="2" operator="lessThan">
      <formula>0</formula>
    </cfRule>
  </conditionalFormatting>
  <conditionalFormatting sqref="L2:L6">
    <cfRule type="cellIs" dxfId="148" priority="5" operator="equal">
      <formula>"-"</formula>
    </cfRule>
    <cfRule type="cellIs" dxfId="147" priority="6" operator="greaterThan">
      <formula>0.1</formula>
    </cfRule>
    <cfRule type="cellIs" dxfId="146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1D9D8-918B-4A24-B181-4C0540C55ECF}">
  <sheetPr codeName="Sheet14"/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4" width="15" style="20" bestFit="1" customWidth="1"/>
    <col min="5" max="5" width="12.710937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04/20/2026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(20th)</v>
      </c>
      <c r="B2" s="8">
        <v>0.28819444444444442</v>
      </c>
      <c r="C2" s="8">
        <v>0.49583333333333335</v>
      </c>
      <c r="D2" s="8">
        <v>0.52569444444444446</v>
      </c>
      <c r="E2" s="9">
        <v>0.66666666666666663</v>
      </c>
      <c r="F2" s="30">
        <f>IF(G2 &gt;= 8, 4 + COUNT(B2:E2), IF(AND(G2 &gt;= 4, G2 &lt;= 7), 2 + COUNT(B2:E2), COUNT(B2:E2)))</f>
        <v>4</v>
      </c>
      <c r="G2" s="10"/>
      <c r="H2" s="10">
        <f>SUM(C2 - B2) * 24</f>
        <v>4.9833333333333343</v>
      </c>
      <c r="I2" s="11">
        <f>SUM(E2 - D2) * 24</f>
        <v>3.383333333333332</v>
      </c>
      <c r="J2" s="12">
        <f>H2 + I2 + G2</f>
        <v>8.3666666666666671</v>
      </c>
      <c r="K2" s="13">
        <f>IF(AND(C2 &lt;&gt; "", D2 &lt;&gt; ""), (SUM(D2 - C2) * 1440), " - ")</f>
        <v>43.000000000000007</v>
      </c>
      <c r="L2" s="14">
        <f>IF(AND((B2 &lt;&gt; ""), (C2 &lt;&gt; ""), (D2 &lt;&gt; ""), (E2 &lt;&gt; "")), IF((((8 - J2) * 60) + 1) &gt; 0, (((8 - J2) * 60) + 1), (((8 - J2) * 60) - 1)), "-")</f>
        <v>-23.000000000000028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(21st)</v>
      </c>
      <c r="B3" s="8">
        <v>0.28819444444444442</v>
      </c>
      <c r="C3" s="8">
        <v>0.48402777777777778</v>
      </c>
      <c r="D3" s="8">
        <v>0.51458333333333328</v>
      </c>
      <c r="E3" s="9">
        <v>0.66666666666666663</v>
      </c>
      <c r="F3" s="30">
        <f t="shared" ref="F3:F6" si="0">IF(G3 &gt;= 8, 4 + COUNT(B3:E3), IF(AND(G3 &gt;= 4, G3 &lt;= 7), 2 + COUNT(B3:E3), COUNT(B3:E3)))</f>
        <v>4</v>
      </c>
      <c r="G3" s="10"/>
      <c r="H3" s="10">
        <f>SUM(C3 - B3) * 24</f>
        <v>4.7000000000000011</v>
      </c>
      <c r="I3" s="11">
        <f>SUM(E3 - D3) * 24</f>
        <v>3.6500000000000004</v>
      </c>
      <c r="J3" s="12">
        <f t="shared" ref="J3:J6" si="1">H3 + I3 + G3</f>
        <v>8.3500000000000014</v>
      </c>
      <c r="K3" s="13">
        <f>IF(AND(C3 &lt;&gt; "", D3 &lt;&gt; ""), (SUM(D3 - C3) * 1440), " - ")</f>
        <v>43.999999999999922</v>
      </c>
      <c r="L3" s="14">
        <f>IF(AND((B3 &lt;&gt; ""), (C3 &lt;&gt; ""), (D3 &lt;&gt; ""), (E3 &lt;&gt; "")), IF((((8 - J3) * 60) + 1) &gt; 0, (((8 - J3) * 60) + 1), (((8 - J3) * 60) - 1)), "-")</f>
        <v>-22.000000000000085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(22nd)</v>
      </c>
      <c r="B4" s="8">
        <v>0.28819444444444442</v>
      </c>
      <c r="C4" s="8">
        <v>0.49513888888888891</v>
      </c>
      <c r="D4" s="8">
        <v>0.52569444444444446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4.9666666666666677</v>
      </c>
      <c r="I4" s="11">
        <f t="shared" ref="I4:I6" si="3">SUM(E4 - D4) * 24</f>
        <v>3.383333333333332</v>
      </c>
      <c r="J4" s="12">
        <f t="shared" si="1"/>
        <v>8.35</v>
      </c>
      <c r="K4" s="13">
        <f t="shared" ref="K4:K6" si="4">IF(AND(C4 &lt;&gt; "", D4 &lt;&gt; ""), (SUM(D4 - C4) * 1440), " - ")</f>
        <v>44</v>
      </c>
      <c r="L4" s="14">
        <f t="shared" ref="L4:L5" si="5">IF(AND((B4 &lt;&gt; ""), (C4 &lt;&gt; ""), (D4 &lt;&gt; ""), (E4 &lt;&gt; "")), IF((((8 - J4) * 60) + 1) &gt; 0, (((8 - J4) * 60) + 1), (((8 - J4) * 60) - 1)), "-")</f>
        <v>-21.999999999999979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(23rd)</v>
      </c>
      <c r="B5" s="8">
        <v>0.28819444444444442</v>
      </c>
      <c r="C5" s="8">
        <v>0.50069444444444444</v>
      </c>
      <c r="D5" s="8">
        <v>0.53194444444444444</v>
      </c>
      <c r="E5" s="9">
        <v>0.66666666666666663</v>
      </c>
      <c r="F5" s="30">
        <f t="shared" si="0"/>
        <v>4</v>
      </c>
      <c r="G5" s="28"/>
      <c r="H5" s="10">
        <f t="shared" si="2"/>
        <v>5.1000000000000005</v>
      </c>
      <c r="I5" s="11">
        <f t="shared" si="3"/>
        <v>3.2333333333333325</v>
      </c>
      <c r="J5" s="12">
        <f t="shared" si="1"/>
        <v>8.3333333333333321</v>
      </c>
      <c r="K5" s="13">
        <f t="shared" si="4"/>
        <v>45</v>
      </c>
      <c r="L5" s="14">
        <f t="shared" si="5"/>
        <v>-20.999999999999929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(24th)</v>
      </c>
      <c r="B6" s="8">
        <v>0.28819444444444442</v>
      </c>
      <c r="C6" s="8">
        <v>0.50416666666666665</v>
      </c>
      <c r="D6" s="8">
        <v>0.53472222222222221</v>
      </c>
      <c r="E6" s="9">
        <v>0.66666666666666663</v>
      </c>
      <c r="F6" s="30">
        <f t="shared" si="0"/>
        <v>4</v>
      </c>
      <c r="G6" s="10"/>
      <c r="H6" s="10">
        <f>SUM(C6 - B6) * 24</f>
        <v>5.1833333333333336</v>
      </c>
      <c r="I6" s="11">
        <f t="shared" si="3"/>
        <v>3.1666666666666661</v>
      </c>
      <c r="J6" s="12">
        <f t="shared" si="1"/>
        <v>8.35</v>
      </c>
      <c r="K6" s="13">
        <f t="shared" si="4"/>
        <v>44</v>
      </c>
      <c r="L6" s="14">
        <f>IF(AND((B6 &lt;&gt; ""), (C6 &lt;&gt; ""), (D6 &lt;&gt; ""), (E6 &lt;&gt; "")), IF((((8 - J6) * 60) + 1) &gt; 0, (((8 - J6) * 60) + 1), (((8 - J6) * 60) - 1)), "-")</f>
        <v>-21.999999999999979</v>
      </c>
    </row>
    <row r="7" spans="1:13" ht="36.75" thickBot="1" x14ac:dyDescent="0.6">
      <c r="B7" s="19"/>
      <c r="I7" s="21" t="s">
        <v>10</v>
      </c>
      <c r="J7" s="22">
        <f>SUM(J2:J6)</f>
        <v>41.750000000000007</v>
      </c>
      <c r="K7" s="25">
        <f>IF(SUM(K2:K6) &lt;&gt; 0, ((60*5) - SUM(K2:K6)) / 60, 0)</f>
        <v>1.3333333333333344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-1.7500000000000071</v>
      </c>
      <c r="K9" s="26"/>
    </row>
    <row r="10" spans="1:13" ht="24" thickBot="1" x14ac:dyDescent="0.4">
      <c r="I10" s="32" t="s">
        <v>21</v>
      </c>
      <c r="J10" s="25">
        <f>IF(J7 &lt; 40, "-", J7-40)</f>
        <v>1.7500000000000071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145" priority="3" operator="greaterThan">
      <formula>3</formula>
    </cfRule>
    <cfRule type="cellIs" dxfId="144" priority="4" operator="lessThan">
      <formula>4</formula>
    </cfRule>
  </conditionalFormatting>
  <conditionalFormatting sqref="J2:J6">
    <cfRule type="cellIs" dxfId="143" priority="8" operator="greaterThan">
      <formula>7.99999999</formula>
    </cfRule>
    <cfRule type="cellIs" dxfId="142" priority="9" operator="lessThan">
      <formula>8</formula>
    </cfRule>
  </conditionalFormatting>
  <conditionalFormatting sqref="J7">
    <cfRule type="cellIs" dxfId="141" priority="10" operator="lessThan">
      <formula>40</formula>
    </cfRule>
    <cfRule type="cellIs" dxfId="140" priority="11" operator="greaterThan">
      <formula>39.999999</formula>
    </cfRule>
  </conditionalFormatting>
  <conditionalFormatting sqref="K7">
    <cfRule type="cellIs" dxfId="139" priority="1" operator="greaterThan">
      <formula>0</formula>
    </cfRule>
    <cfRule type="cellIs" dxfId="138" priority="2" operator="lessThan">
      <formula>0</formula>
    </cfRule>
  </conditionalFormatting>
  <conditionalFormatting sqref="L2:L6">
    <cfRule type="cellIs" dxfId="137" priority="5" operator="equal">
      <formula>"-"</formula>
    </cfRule>
    <cfRule type="cellIs" dxfId="136" priority="6" operator="greaterThan">
      <formula>0.1</formula>
    </cfRule>
    <cfRule type="cellIs" dxfId="135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DEE3-E784-4BAF-9730-AC8A15978DE6}">
  <sheetPr codeName="Sheet15"/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4" width="15" style="20" bestFit="1" customWidth="1"/>
    <col min="5" max="5" width="12.710937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04/13/2026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(13th)</v>
      </c>
      <c r="B2" s="8">
        <v>0.28819444444444442</v>
      </c>
      <c r="C2" s="8">
        <v>0.50347222222222221</v>
      </c>
      <c r="D2" s="8">
        <v>0.53541666666666665</v>
      </c>
      <c r="E2" s="9">
        <v>0.66666666666666663</v>
      </c>
      <c r="F2" s="30">
        <f>IF(G2 &gt;= 8, 4 + COUNT(B2:E2), IF(AND(G2 &gt;= 4, G2 &lt;= 7), 2 + COUNT(B2:E2), COUNT(B2:E2)))</f>
        <v>4</v>
      </c>
      <c r="G2" s="10"/>
      <c r="H2" s="10">
        <f>SUM(C2 - B2) * 24</f>
        <v>5.166666666666667</v>
      </c>
      <c r="I2" s="11">
        <f>SUM(E2 - D2) * 24</f>
        <v>3.1499999999999995</v>
      </c>
      <c r="J2" s="12">
        <f>H2 + I2 + G2</f>
        <v>8.3166666666666664</v>
      </c>
      <c r="K2" s="13">
        <f>IF(AND(C2 &lt;&gt; "", D2 &lt;&gt; ""), (SUM(D2 - C2) * 1440), " - ")</f>
        <v>46</v>
      </c>
      <c r="L2" s="14">
        <f>IF(AND((B2 &lt;&gt; ""), (C2 &lt;&gt; ""), (D2 &lt;&gt; ""), (E2 &lt;&gt; "")), IF((((8 - J2) * 60) + 1) &gt; 0, (((8 - J2) * 60) + 1), (((8 - J2) * 60) - 1)), "-")</f>
        <v>-19.999999999999986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(14th)</v>
      </c>
      <c r="B3" s="8">
        <v>0.28819444444444442</v>
      </c>
      <c r="C3" s="8">
        <v>0.52152777777777781</v>
      </c>
      <c r="D3" s="8">
        <v>0.55277777777777781</v>
      </c>
      <c r="E3" s="9">
        <v>0.66666666666666663</v>
      </c>
      <c r="F3" s="30">
        <f t="shared" ref="F3:F6" si="0">IF(G3 &gt;= 8, 4 + COUNT(B3:E3), IF(AND(G3 &gt;= 4, G3 &lt;= 7), 2 + COUNT(B3:E3), COUNT(B3:E3)))</f>
        <v>4</v>
      </c>
      <c r="G3" s="10"/>
      <c r="H3" s="10">
        <f>SUM(C3 - B3) * 24</f>
        <v>5.6000000000000014</v>
      </c>
      <c r="I3" s="11">
        <f>SUM(E3 - D3) * 24</f>
        <v>2.7333333333333316</v>
      </c>
      <c r="J3" s="12">
        <f t="shared" ref="J3:J6" si="1">H3 + I3 + G3</f>
        <v>8.3333333333333321</v>
      </c>
      <c r="K3" s="13">
        <f>IF(AND(C3 &lt;&gt; "", D3 &lt;&gt; ""), (SUM(D3 - C3) * 1440), " - ")</f>
        <v>45</v>
      </c>
      <c r="L3" s="14">
        <f>IF(AND((B3 &lt;&gt; ""), (C3 &lt;&gt; ""), (D3 &lt;&gt; ""), (E3 &lt;&gt; "")), IF((((8 - J3) * 60) + 1) &gt; 0, (((8 - J3) * 60) + 1), (((8 - J3) * 60) - 1)), "-")</f>
        <v>-20.999999999999929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(15th)</v>
      </c>
      <c r="B4" s="8">
        <v>0.28819444444444442</v>
      </c>
      <c r="C4" s="8">
        <v>0.4597222222222222</v>
      </c>
      <c r="D4" s="8">
        <v>0.49583333333333335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4.1166666666666671</v>
      </c>
      <c r="I4" s="11">
        <f t="shared" ref="I4:I6" si="3">SUM(E4 - D4) * 24</f>
        <v>4.0999999999999988</v>
      </c>
      <c r="J4" s="12">
        <f t="shared" si="1"/>
        <v>8.216666666666665</v>
      </c>
      <c r="K4" s="13">
        <f t="shared" ref="K4:K6" si="4">IF(AND(C4 &lt;&gt; "", D4 &lt;&gt; ""), (SUM(D4 - C4) * 1440), " - ")</f>
        <v>52.000000000000057</v>
      </c>
      <c r="L4" s="14">
        <f t="shared" ref="L4:L5" si="5">IF(AND((B4 &lt;&gt; ""), (C4 &lt;&gt; ""), (D4 &lt;&gt; ""), (E4 &lt;&gt; "")), IF((((8 - J4) * 60) + 1) &gt; 0, (((8 - J4) * 60) + 1), (((8 - J4) * 60) - 1)), "-")</f>
        <v>-13.999999999999901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(16th)</v>
      </c>
      <c r="B5" s="8">
        <v>0.28819444444444442</v>
      </c>
      <c r="C5" s="8">
        <v>0.49930555555555556</v>
      </c>
      <c r="D5" s="8">
        <v>0.52916666666666667</v>
      </c>
      <c r="E5" s="9">
        <v>0.66666666666666663</v>
      </c>
      <c r="F5" s="30">
        <f t="shared" si="0"/>
        <v>4</v>
      </c>
      <c r="G5" s="28"/>
      <c r="H5" s="10">
        <f t="shared" si="2"/>
        <v>5.0666666666666673</v>
      </c>
      <c r="I5" s="11">
        <f t="shared" si="3"/>
        <v>3.2999999999999989</v>
      </c>
      <c r="J5" s="12">
        <f t="shared" si="1"/>
        <v>8.3666666666666671</v>
      </c>
      <c r="K5" s="13">
        <f t="shared" si="4"/>
        <v>43.000000000000007</v>
      </c>
      <c r="L5" s="14">
        <f t="shared" si="5"/>
        <v>-23.000000000000028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(17th)</v>
      </c>
      <c r="B6" s="8">
        <v>0.28819444444444442</v>
      </c>
      <c r="C6" s="8">
        <v>0.51736111111111116</v>
      </c>
      <c r="D6" s="8">
        <v>0.54722222222222228</v>
      </c>
      <c r="E6" s="9">
        <v>0.66666666666666663</v>
      </c>
      <c r="F6" s="30">
        <f t="shared" si="0"/>
        <v>4</v>
      </c>
      <c r="G6" s="10"/>
      <c r="H6" s="10">
        <f>SUM(C6 - B6) * 24</f>
        <v>5.5000000000000018</v>
      </c>
      <c r="I6" s="11">
        <f t="shared" si="3"/>
        <v>2.8666666666666645</v>
      </c>
      <c r="J6" s="12">
        <f t="shared" si="1"/>
        <v>8.3666666666666671</v>
      </c>
      <c r="K6" s="13">
        <f t="shared" si="4"/>
        <v>43.000000000000007</v>
      </c>
      <c r="L6" s="14">
        <f>IF(AND((B6 &lt;&gt; ""), (C6 &lt;&gt; ""), (D6 &lt;&gt; ""), (E6 &lt;&gt; "")), IF((((8 - J6) * 60) + 1) &gt; 0, (((8 - J6) * 60) + 1), (((8 - J6) * 60) - 1)), "-")</f>
        <v>-23.000000000000028</v>
      </c>
    </row>
    <row r="7" spans="1:13" ht="36.75" thickBot="1" x14ac:dyDescent="0.6">
      <c r="B7" s="19"/>
      <c r="I7" s="21" t="s">
        <v>10</v>
      </c>
      <c r="J7" s="22">
        <f>SUM(J2:J6)</f>
        <v>41.6</v>
      </c>
      <c r="K7" s="25">
        <f>IF(SUM(K2:K6) &lt;&gt; 0, ((60*5) - SUM(K2:K6)) / 60, 0)</f>
        <v>1.1833333333333325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-1.6000000000000014</v>
      </c>
      <c r="K9" s="26"/>
    </row>
    <row r="10" spans="1:13" ht="24" thickBot="1" x14ac:dyDescent="0.4">
      <c r="I10" s="32" t="s">
        <v>21</v>
      </c>
      <c r="J10" s="25">
        <f>IF(J7 &lt; 40, "-", J7-40)</f>
        <v>1.6000000000000014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134" priority="3" operator="greaterThan">
      <formula>3</formula>
    </cfRule>
    <cfRule type="cellIs" dxfId="133" priority="4" operator="lessThan">
      <formula>4</formula>
    </cfRule>
  </conditionalFormatting>
  <conditionalFormatting sqref="J2:J6">
    <cfRule type="cellIs" dxfId="132" priority="8" operator="greaterThan">
      <formula>7.99999999</formula>
    </cfRule>
    <cfRule type="cellIs" dxfId="131" priority="9" operator="lessThan">
      <formula>8</formula>
    </cfRule>
  </conditionalFormatting>
  <conditionalFormatting sqref="J7">
    <cfRule type="cellIs" dxfId="130" priority="10" operator="lessThan">
      <formula>40</formula>
    </cfRule>
    <cfRule type="cellIs" dxfId="129" priority="11" operator="greaterThan">
      <formula>39.999999</formula>
    </cfRule>
  </conditionalFormatting>
  <conditionalFormatting sqref="K7">
    <cfRule type="cellIs" dxfId="128" priority="1" operator="greaterThan">
      <formula>0</formula>
    </cfRule>
    <cfRule type="cellIs" dxfId="127" priority="2" operator="lessThan">
      <formula>0</formula>
    </cfRule>
  </conditionalFormatting>
  <conditionalFormatting sqref="L2:L6">
    <cfRule type="cellIs" dxfId="126" priority="5" operator="equal">
      <formula>"-"</formula>
    </cfRule>
    <cfRule type="cellIs" dxfId="125" priority="6" operator="greaterThan">
      <formula>0.1</formula>
    </cfRule>
    <cfRule type="cellIs" dxfId="124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AA26-956E-44CC-A227-92587E57ACBA}">
  <sheetPr codeName="Sheet16"/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3" width="15" style="20" bestFit="1" customWidth="1"/>
    <col min="4" max="4" width="14.5703125" style="20" bestFit="1" customWidth="1"/>
    <col min="5" max="5" width="12.710937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04/08/2026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Wed (8th)</v>
      </c>
      <c r="B2" s="8">
        <v>0.28819444444444442</v>
      </c>
      <c r="C2" s="8">
        <v>0.49305555555555558</v>
      </c>
      <c r="D2" s="8">
        <v>0.52430555555555558</v>
      </c>
      <c r="E2" s="9">
        <v>0.66666666666666663</v>
      </c>
      <c r="F2" s="30">
        <f>IF(G2 &gt;= 8, 4 + COUNT(B2:E2), IF(AND(G2 &gt;= 4, G2 &lt;= 7), 2 + COUNT(B2:E2), COUNT(B2:E2)))</f>
        <v>4</v>
      </c>
      <c r="G2" s="10"/>
      <c r="H2" s="10">
        <f>SUM(C2 - B2) * 24</f>
        <v>4.9166666666666679</v>
      </c>
      <c r="I2" s="11">
        <f>SUM(E2 - D2) * 24</f>
        <v>3.4166666666666652</v>
      </c>
      <c r="J2" s="12">
        <f>H2 + I2 + G2</f>
        <v>8.3333333333333321</v>
      </c>
      <c r="K2" s="13">
        <f>IF(AND(C2 &lt;&gt; "", D2 &lt;&gt; ""), (SUM(D2 - C2) * 1440), " - ")</f>
        <v>45</v>
      </c>
      <c r="L2" s="14">
        <f>IF(AND((B2 &lt;&gt; ""), (C2 &lt;&gt; ""), (D2 &lt;&gt; ""), (E2 &lt;&gt; "")), IF((((8 - J2) * 60) + 1) &gt; 0, (((8 - J2) * 60) + 1), (((8 - J2) * 60) - 1)), "-")</f>
        <v>-20.999999999999929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Thu (9th)</v>
      </c>
      <c r="B3" s="8">
        <v>0.28819444444444442</v>
      </c>
      <c r="C3" s="8">
        <v>0.49444444444444446</v>
      </c>
      <c r="D3" s="8">
        <v>0.52500000000000002</v>
      </c>
      <c r="E3" s="9">
        <v>0.66666666666666663</v>
      </c>
      <c r="F3" s="30">
        <f t="shared" ref="F3:F6" si="0">IF(G3 &gt;= 8, 4 + COUNT(B3:E3), IF(AND(G3 &gt;= 4, G3 &lt;= 7), 2 + COUNT(B3:E3), COUNT(B3:E3)))</f>
        <v>4</v>
      </c>
      <c r="G3" s="10"/>
      <c r="H3" s="10">
        <f>SUM(C3 - B3) * 24</f>
        <v>4.9500000000000011</v>
      </c>
      <c r="I3" s="11">
        <f>SUM(E3 - D3) * 24</f>
        <v>3.3999999999999986</v>
      </c>
      <c r="J3" s="12">
        <f t="shared" ref="J3:J6" si="1">H3 + I3 + G3</f>
        <v>8.35</v>
      </c>
      <c r="K3" s="13">
        <f>IF(AND(C3 &lt;&gt; "", D3 &lt;&gt; ""), (SUM(D3 - C3) * 1440), " - ")</f>
        <v>44</v>
      </c>
      <c r="L3" s="14">
        <f>IF(AND((B3 &lt;&gt; ""), (C3 &lt;&gt; ""), (D3 &lt;&gt; ""), (E3 &lt;&gt; "")), IF((((8 - J3) * 60) + 1) &gt; 0, (((8 - J3) * 60) + 1), (((8 - J3) * 60) - 1)), "-")</f>
        <v>-21.999999999999979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Fri (10th)</v>
      </c>
      <c r="B4" s="8">
        <v>0.28819444444444442</v>
      </c>
      <c r="C4" s="8">
        <v>0.49027777777777776</v>
      </c>
      <c r="D4" s="8">
        <v>0.5229166666666667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4.8499999999999996</v>
      </c>
      <c r="I4" s="11">
        <f t="shared" ref="I4:I6" si="3">SUM(E4 - D4) * 24</f>
        <v>3.4499999999999984</v>
      </c>
      <c r="J4" s="12">
        <f t="shared" si="1"/>
        <v>8.2999999999999972</v>
      </c>
      <c r="K4" s="13">
        <f t="shared" ref="K4:K6" si="4">IF(AND(C4 &lt;&gt; "", D4 &lt;&gt; ""), (SUM(D4 - C4) * 1440), " - ")</f>
        <v>47.000000000000071</v>
      </c>
      <c r="L4" s="14">
        <f t="shared" ref="L4:L5" si="5">IF(AND((B4 &lt;&gt; ""), (C4 &lt;&gt; ""), (D4 &lt;&gt; ""), (E4 &lt;&gt; "")), IF((((8 - J4) * 60) + 1) &gt; 0, (((8 - J4) * 60) + 1), (((8 - J4) * 60) - 1)), "-")</f>
        <v>-18.999999999999829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Sat (11th)</v>
      </c>
      <c r="B5" s="8">
        <v>0.28819444444444442</v>
      </c>
      <c r="C5" s="8">
        <v>0.49166666666666664</v>
      </c>
      <c r="D5" s="8">
        <v>0.5229166666666667</v>
      </c>
      <c r="E5" s="9">
        <v>0.66666666666666663</v>
      </c>
      <c r="F5" s="30">
        <f t="shared" si="0"/>
        <v>4</v>
      </c>
      <c r="G5" s="28"/>
      <c r="H5" s="10">
        <f t="shared" si="2"/>
        <v>4.8833333333333329</v>
      </c>
      <c r="I5" s="11">
        <f t="shared" si="3"/>
        <v>3.4499999999999984</v>
      </c>
      <c r="J5" s="12">
        <f t="shared" si="1"/>
        <v>8.3333333333333321</v>
      </c>
      <c r="K5" s="13">
        <f t="shared" si="4"/>
        <v>45.000000000000078</v>
      </c>
      <c r="L5" s="14">
        <f t="shared" si="5"/>
        <v>-20.999999999999929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Sun (12th)</v>
      </c>
      <c r="B6" s="8">
        <v>0.28819444444444442</v>
      </c>
      <c r="C6" s="8">
        <v>0.49861111111111112</v>
      </c>
      <c r="D6" s="8">
        <v>0.52916666666666667</v>
      </c>
      <c r="E6" s="9">
        <v>0.66666666666666663</v>
      </c>
      <c r="F6" s="30">
        <f t="shared" si="0"/>
        <v>4</v>
      </c>
      <c r="G6" s="10"/>
      <c r="H6" s="10">
        <f>SUM(C6 - B6) * 24</f>
        <v>5.0500000000000007</v>
      </c>
      <c r="I6" s="11">
        <f t="shared" si="3"/>
        <v>3.2999999999999989</v>
      </c>
      <c r="J6" s="12">
        <f t="shared" si="1"/>
        <v>8.35</v>
      </c>
      <c r="K6" s="13">
        <f t="shared" si="4"/>
        <v>44</v>
      </c>
      <c r="L6" s="14">
        <f>IF(AND((B6 &lt;&gt; ""), (C6 &lt;&gt; ""), (D6 &lt;&gt; ""), (E6 &lt;&gt; "")), IF((((8 - J6) * 60) + 1) &gt; 0, (((8 - J6) * 60) + 1), (((8 - J6) * 60) - 1)), "-")</f>
        <v>-21.999999999999979</v>
      </c>
    </row>
    <row r="7" spans="1:13" ht="36.75" thickBot="1" x14ac:dyDescent="0.6">
      <c r="B7" s="19"/>
      <c r="I7" s="21" t="s">
        <v>10</v>
      </c>
      <c r="J7" s="22">
        <f>SUM(J2:J6)</f>
        <v>41.666666666666664</v>
      </c>
      <c r="K7" s="25">
        <f>IF(SUM(K2:K6) &lt;&gt; 0, ((60*5) - SUM(K2:K6)) / 60, 0)</f>
        <v>1.2499999999999976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-1.6666666666666643</v>
      </c>
      <c r="K9" s="26"/>
    </row>
    <row r="10" spans="1:13" ht="24" thickBot="1" x14ac:dyDescent="0.4">
      <c r="I10" s="32" t="s">
        <v>21</v>
      </c>
      <c r="J10" s="25">
        <f>IF(J7 &lt; 40, "-", J7-40)</f>
        <v>1.6666666666666643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123" priority="3" operator="greaterThan">
      <formula>3</formula>
    </cfRule>
    <cfRule type="cellIs" dxfId="122" priority="4" operator="lessThan">
      <formula>4</formula>
    </cfRule>
  </conditionalFormatting>
  <conditionalFormatting sqref="J2:J6">
    <cfRule type="cellIs" dxfId="121" priority="8" operator="greaterThan">
      <formula>7.99999999</formula>
    </cfRule>
    <cfRule type="cellIs" dxfId="120" priority="9" operator="lessThan">
      <formula>8</formula>
    </cfRule>
  </conditionalFormatting>
  <conditionalFormatting sqref="J7">
    <cfRule type="cellIs" dxfId="119" priority="10" operator="lessThan">
      <formula>40</formula>
    </cfRule>
    <cfRule type="cellIs" dxfId="118" priority="11" operator="greaterThan">
      <formula>39.999999</formula>
    </cfRule>
  </conditionalFormatting>
  <conditionalFormatting sqref="K7">
    <cfRule type="cellIs" dxfId="117" priority="1" operator="greaterThan">
      <formula>0</formula>
    </cfRule>
    <cfRule type="cellIs" dxfId="116" priority="2" operator="lessThan">
      <formula>0</formula>
    </cfRule>
  </conditionalFormatting>
  <conditionalFormatting sqref="L2:L6">
    <cfRule type="cellIs" dxfId="115" priority="5" operator="equal">
      <formula>"-"</formula>
    </cfRule>
    <cfRule type="cellIs" dxfId="114" priority="6" operator="greaterThan">
      <formula>0.1</formula>
    </cfRule>
    <cfRule type="cellIs" dxfId="113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AA111-5E1D-4B97-9693-D547B2E6E4CE}">
  <sheetPr codeName="Sheet17"/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3" width="15" style="20" bestFit="1" customWidth="1"/>
    <col min="4" max="4" width="14.5703125" style="20" bestFit="1" customWidth="1"/>
    <col min="5" max="5" width="12.710937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03/30/2026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(30th)</v>
      </c>
      <c r="B2" s="8">
        <v>0.28819444444444442</v>
      </c>
      <c r="C2" s="8">
        <v>0.48541666666666666</v>
      </c>
      <c r="D2" s="8">
        <v>0.51666666666666672</v>
      </c>
      <c r="E2" s="9">
        <v>0.66666666666666663</v>
      </c>
      <c r="F2" s="30">
        <f>IF(G2 &gt;= 8, 4 + COUNT(B2:E2), IF(AND(G2 &gt;= 4, G2 &lt;= 7), 2 + COUNT(B2:E2), COUNT(B2:E2)))</f>
        <v>4</v>
      </c>
      <c r="G2" s="10"/>
      <c r="H2" s="10">
        <f>SUM(C2 - B2) * 24</f>
        <v>4.7333333333333343</v>
      </c>
      <c r="I2" s="11">
        <f>SUM(E2 - D2) * 24</f>
        <v>3.5999999999999979</v>
      </c>
      <c r="J2" s="12">
        <f>H2 + I2 + G2</f>
        <v>8.3333333333333321</v>
      </c>
      <c r="K2" s="13">
        <f>IF(AND(C2 &lt;&gt; "", D2 &lt;&gt; ""), (SUM(D2 - C2) * 1440), " - ")</f>
        <v>45.000000000000078</v>
      </c>
      <c r="L2" s="14">
        <f>IF(AND((B2 &lt;&gt; ""), (C2 &lt;&gt; ""), (D2 &lt;&gt; ""), (E2 &lt;&gt; "")), IF((((8 - J2) * 60) + 1) &gt; 0, (((8 - J2) * 60) + 1), (((8 - J2) * 60) - 1)), "-")</f>
        <v>-20.999999999999929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(31st)</v>
      </c>
      <c r="B3" s="8">
        <v>0.28819444444444442</v>
      </c>
      <c r="C3" s="8">
        <v>0.50555555555555554</v>
      </c>
      <c r="D3" s="8">
        <v>0.53680555555555554</v>
      </c>
      <c r="E3" s="9">
        <v>0.66666666666666663</v>
      </c>
      <c r="F3" s="30">
        <f t="shared" ref="F3:F6" si="0">IF(G3 &gt;= 8, 4 + COUNT(B3:E3), IF(AND(G3 &gt;= 4, G3 &lt;= 7), 2 + COUNT(B3:E3), COUNT(B3:E3)))</f>
        <v>4</v>
      </c>
      <c r="G3" s="10"/>
      <c r="H3" s="10">
        <f>SUM(C3 - B3) * 24</f>
        <v>5.2166666666666668</v>
      </c>
      <c r="I3" s="11">
        <f>SUM(E3 - D3) * 24</f>
        <v>3.1166666666666663</v>
      </c>
      <c r="J3" s="12">
        <f t="shared" ref="J3:J6" si="1">H3 + I3 + G3</f>
        <v>8.3333333333333321</v>
      </c>
      <c r="K3" s="13">
        <f>IF(AND(C3 &lt;&gt; "", D3 &lt;&gt; ""), (SUM(D3 - C3) * 1440), " - ")</f>
        <v>45</v>
      </c>
      <c r="L3" s="14">
        <f>IF(AND((B3 &lt;&gt; ""), (C3 &lt;&gt; ""), (D3 &lt;&gt; ""), (E3 &lt;&gt; "")), IF((((8 - J3) * 60) + 1) &gt; 0, (((8 - J3) * 60) + 1), (((8 - J3) * 60) - 1)), "-")</f>
        <v>-20.999999999999929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(1st)</v>
      </c>
      <c r="B4" s="8">
        <v>0.28819444444444442</v>
      </c>
      <c r="C4" s="8">
        <v>0.54652777777777772</v>
      </c>
      <c r="D4" s="8">
        <v>0.57708333333333328</v>
      </c>
      <c r="E4" s="9">
        <v>0.66736111111111107</v>
      </c>
      <c r="F4" s="30">
        <f t="shared" si="0"/>
        <v>4</v>
      </c>
      <c r="G4" s="28"/>
      <c r="H4" s="10">
        <f t="shared" ref="H4:H5" si="2">SUM(C4 - B4) * 24</f>
        <v>6.1999999999999993</v>
      </c>
      <c r="I4" s="11">
        <f t="shared" ref="I4:I6" si="3">SUM(E4 - D4) * 24</f>
        <v>2.166666666666667</v>
      </c>
      <c r="J4" s="12">
        <f t="shared" si="1"/>
        <v>8.3666666666666671</v>
      </c>
      <c r="K4" s="13">
        <f t="shared" ref="K4:K6" si="4">IF(AND(C4 &lt;&gt; "", D4 &lt;&gt; ""), (SUM(D4 - C4) * 1440), " - ")</f>
        <v>44</v>
      </c>
      <c r="L4" s="14">
        <f t="shared" ref="L4:L5" si="5">IF(AND((B4 &lt;&gt; ""), (C4 &lt;&gt; ""), (D4 &lt;&gt; ""), (E4 &lt;&gt; "")), IF((((8 - J4) * 60) + 1) &gt; 0, (((8 - J4) * 60) + 1), (((8 - J4) * 60) - 1)), "-")</f>
        <v>-23.000000000000028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(2nd)</v>
      </c>
      <c r="B5" s="8">
        <v>0.28819444444444442</v>
      </c>
      <c r="C5" s="8">
        <v>0.50902777777777775</v>
      </c>
      <c r="D5" s="8">
        <v>0.5395833333333333</v>
      </c>
      <c r="E5" s="9">
        <v>0.66666666666666663</v>
      </c>
      <c r="F5" s="30">
        <f t="shared" si="0"/>
        <v>4</v>
      </c>
      <c r="G5" s="28"/>
      <c r="H5" s="10">
        <f t="shared" si="2"/>
        <v>5.3</v>
      </c>
      <c r="I5" s="11">
        <f t="shared" si="3"/>
        <v>3.05</v>
      </c>
      <c r="J5" s="12">
        <f t="shared" si="1"/>
        <v>8.35</v>
      </c>
      <c r="K5" s="13">
        <f t="shared" si="4"/>
        <v>44</v>
      </c>
      <c r="L5" s="14">
        <f t="shared" si="5"/>
        <v>-21.999999999999979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(3rd)</v>
      </c>
      <c r="B6" s="8">
        <v>0.28819444444444442</v>
      </c>
      <c r="C6" s="8">
        <v>0.49583333333333335</v>
      </c>
      <c r="D6" s="8">
        <v>0.52708333333333335</v>
      </c>
      <c r="E6" s="9">
        <v>0.66666666666666663</v>
      </c>
      <c r="F6" s="30">
        <f t="shared" si="0"/>
        <v>4</v>
      </c>
      <c r="G6" s="10"/>
      <c r="H6" s="10">
        <f>SUM(C6 - B6) * 24</f>
        <v>4.9833333333333343</v>
      </c>
      <c r="I6" s="11">
        <f t="shared" si="3"/>
        <v>3.3499999999999988</v>
      </c>
      <c r="J6" s="12">
        <f t="shared" si="1"/>
        <v>8.3333333333333321</v>
      </c>
      <c r="K6" s="13">
        <f t="shared" si="4"/>
        <v>45</v>
      </c>
      <c r="L6" s="14">
        <f>IF(AND((B6 &lt;&gt; ""), (C6 &lt;&gt; ""), (D6 &lt;&gt; ""), (E6 &lt;&gt; "")), IF((((8 - J6) * 60) + 1) &gt; 0, (((8 - J6) * 60) + 1), (((8 - J6) * 60) - 1)), "-")</f>
        <v>-20.999999999999929</v>
      </c>
    </row>
    <row r="7" spans="1:13" ht="36.75" thickBot="1" x14ac:dyDescent="0.6">
      <c r="B7" s="19"/>
      <c r="I7" s="21" t="s">
        <v>10</v>
      </c>
      <c r="J7" s="22">
        <f>SUM(J2:J6)</f>
        <v>41.716666666666669</v>
      </c>
      <c r="K7" s="25">
        <f>IF(SUM(K2:K6) &lt;&gt; 0, ((60*5) - SUM(K2:K6)) / 60, 0)</f>
        <v>1.2833333333333319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-1.7166666666666686</v>
      </c>
      <c r="K9" s="26"/>
    </row>
    <row r="10" spans="1:13" ht="24" thickBot="1" x14ac:dyDescent="0.4">
      <c r="I10" s="32" t="s">
        <v>21</v>
      </c>
      <c r="J10" s="25">
        <f>IF(J7 &lt; 40, "-", J7-40)</f>
        <v>1.7166666666666686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112" priority="3" operator="greaterThan">
      <formula>3</formula>
    </cfRule>
    <cfRule type="cellIs" dxfId="111" priority="4" operator="lessThan">
      <formula>4</formula>
    </cfRule>
  </conditionalFormatting>
  <conditionalFormatting sqref="J2:J6">
    <cfRule type="cellIs" dxfId="110" priority="8" operator="greaterThan">
      <formula>7.99999999</formula>
    </cfRule>
    <cfRule type="cellIs" dxfId="109" priority="9" operator="lessThan">
      <formula>8</formula>
    </cfRule>
  </conditionalFormatting>
  <conditionalFormatting sqref="J7">
    <cfRule type="cellIs" dxfId="108" priority="10" operator="lessThan">
      <formula>40</formula>
    </cfRule>
    <cfRule type="cellIs" dxfId="107" priority="11" operator="greaterThan">
      <formula>39.999999</formula>
    </cfRule>
  </conditionalFormatting>
  <conditionalFormatting sqref="K7">
    <cfRule type="cellIs" dxfId="106" priority="1" operator="greaterThan">
      <formula>0</formula>
    </cfRule>
    <cfRule type="cellIs" dxfId="105" priority="2" operator="lessThan">
      <formula>0</formula>
    </cfRule>
  </conditionalFormatting>
  <conditionalFormatting sqref="L2:L6">
    <cfRule type="cellIs" dxfId="104" priority="5" operator="equal">
      <formula>"-"</formula>
    </cfRule>
    <cfRule type="cellIs" dxfId="103" priority="6" operator="greaterThan">
      <formula>0.1</formula>
    </cfRule>
    <cfRule type="cellIs" dxfId="102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2ECAE-46BA-4924-85FC-E83F2A7590E3}">
  <sheetPr codeName="Sheet18"/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3" width="15" style="20" bestFit="1" customWidth="1"/>
    <col min="4" max="4" width="14.5703125" style="20" bestFit="1" customWidth="1"/>
    <col min="5" max="5" width="12.710937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03/23/2026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(23rd)</v>
      </c>
      <c r="B2" s="8">
        <v>0.28819444444444442</v>
      </c>
      <c r="C2" s="8">
        <v>0.53611111111111109</v>
      </c>
      <c r="D2" s="8">
        <v>0.56736111111111109</v>
      </c>
      <c r="E2" s="9">
        <v>0.66666666666666663</v>
      </c>
      <c r="F2" s="30">
        <f>IF(G2 &gt;= 8, 4 + COUNT(B2:E2), IF(AND(G2 &gt;= 4, G2 &lt;= 7), 2 + COUNT(B2:E2), COUNT(B2:E2)))</f>
        <v>4</v>
      </c>
      <c r="G2" s="10"/>
      <c r="H2" s="10">
        <f>SUM(C2 - B2) * 24</f>
        <v>5.95</v>
      </c>
      <c r="I2" s="11">
        <f>SUM(E2 - D2) * 24</f>
        <v>2.3833333333333329</v>
      </c>
      <c r="J2" s="12">
        <f>H2 + I2 + G2</f>
        <v>8.3333333333333321</v>
      </c>
      <c r="K2" s="13">
        <f>IF(AND(C2 &lt;&gt; "", D2 &lt;&gt; ""), (SUM(D2 - C2) * 1440), " - ")</f>
        <v>45</v>
      </c>
      <c r="L2" s="14">
        <f>IF(AND((B2 &lt;&gt; ""), (C2 &lt;&gt; ""), (D2 &lt;&gt; ""), (E2 &lt;&gt; "")), IF((((8 - J2) * 60) + 1) &gt; 0, (((8 - J2) * 60) + 1), (((8 - J2) * 60) - 1)), "-")</f>
        <v>-20.999999999999929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(24th)</v>
      </c>
      <c r="B3" s="8">
        <v>0.28819444444444442</v>
      </c>
      <c r="C3" s="8">
        <v>0.5</v>
      </c>
      <c r="D3" s="8">
        <v>0.53055555555555556</v>
      </c>
      <c r="E3" s="9">
        <v>0.66666666666666663</v>
      </c>
      <c r="F3" s="30">
        <f t="shared" ref="F3:F6" si="0">IF(G3 &gt;= 8, 4 + COUNT(B3:E3), IF(AND(G3 &gt;= 4, G3 &lt;= 7), 2 + COUNT(B3:E3), COUNT(B3:E3)))</f>
        <v>4</v>
      </c>
      <c r="G3" s="10"/>
      <c r="H3" s="10">
        <f>SUM(C3 - B3) * 24</f>
        <v>5.0833333333333339</v>
      </c>
      <c r="I3" s="11">
        <f>SUM(E3 - D3) * 24</f>
        <v>3.2666666666666657</v>
      </c>
      <c r="J3" s="12">
        <f t="shared" ref="J3:J6" si="1">H3 + I3 + G3</f>
        <v>8.35</v>
      </c>
      <c r="K3" s="13">
        <f>IF(AND(C3 &lt;&gt; "", D3 &lt;&gt; ""), (SUM(D3 - C3) * 1440), " - ")</f>
        <v>44</v>
      </c>
      <c r="L3" s="14">
        <f>IF(AND((B3 &lt;&gt; ""), (C3 &lt;&gt; ""), (D3 &lt;&gt; ""), (E3 &lt;&gt; "")), IF((((8 - J3) * 60) + 1) &gt; 0, (((8 - J3) * 60) + 1), (((8 - J3) * 60) - 1)), "-")</f>
        <v>-21.999999999999979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(25th)</v>
      </c>
      <c r="B4" s="8">
        <v>0.28819444444444442</v>
      </c>
      <c r="C4" s="8">
        <v>0.51180555555555551</v>
      </c>
      <c r="D4" s="8">
        <v>0.54236111111111107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5.3666666666666663</v>
      </c>
      <c r="I4" s="11">
        <f t="shared" ref="I4:I6" si="3">SUM(E4 - D4) * 24</f>
        <v>2.9833333333333334</v>
      </c>
      <c r="J4" s="12">
        <f t="shared" si="1"/>
        <v>8.35</v>
      </c>
      <c r="K4" s="13">
        <f t="shared" ref="K4:K6" si="4">IF(AND(C4 &lt;&gt; "", D4 &lt;&gt; ""), (SUM(D4 - C4) * 1440), " - ")</f>
        <v>44</v>
      </c>
      <c r="L4" s="14">
        <f t="shared" ref="L4:L5" si="5">IF(AND((B4 &lt;&gt; ""), (C4 &lt;&gt; ""), (D4 &lt;&gt; ""), (E4 &lt;&gt; "")), IF((((8 - J4) * 60) + 1) &gt; 0, (((8 - J4) * 60) + 1), (((8 - J4) * 60) - 1)), "-")</f>
        <v>-21.999999999999979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(26th)</v>
      </c>
      <c r="B5" s="8">
        <v>0.28819444444444442</v>
      </c>
      <c r="C5" s="8">
        <v>0.51249999999999996</v>
      </c>
      <c r="D5" s="8">
        <v>0.54236111111111107</v>
      </c>
      <c r="E5" s="9">
        <v>0.66666666666666663</v>
      </c>
      <c r="F5" s="30">
        <f t="shared" si="0"/>
        <v>4</v>
      </c>
      <c r="G5" s="28"/>
      <c r="H5" s="10">
        <f t="shared" si="2"/>
        <v>5.3833333333333329</v>
      </c>
      <c r="I5" s="11">
        <f t="shared" si="3"/>
        <v>2.9833333333333334</v>
      </c>
      <c r="J5" s="12">
        <f t="shared" si="1"/>
        <v>8.3666666666666671</v>
      </c>
      <c r="K5" s="13">
        <f t="shared" si="4"/>
        <v>43.000000000000007</v>
      </c>
      <c r="L5" s="14">
        <f t="shared" si="5"/>
        <v>-23.000000000000028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(27th)</v>
      </c>
      <c r="B6" s="8">
        <v>0.28819444444444442</v>
      </c>
      <c r="C6" s="8">
        <v>0.52013888888888893</v>
      </c>
      <c r="D6" s="8">
        <v>0.55208333333333337</v>
      </c>
      <c r="E6" s="9">
        <v>0.66666666666666663</v>
      </c>
      <c r="F6" s="30">
        <f t="shared" si="0"/>
        <v>4</v>
      </c>
      <c r="G6" s="10"/>
      <c r="H6" s="10">
        <f>SUM(C6 - B6) * 24</f>
        <v>5.5666666666666682</v>
      </c>
      <c r="I6" s="11">
        <f t="shared" si="3"/>
        <v>2.7499999999999982</v>
      </c>
      <c r="J6" s="12">
        <f t="shared" si="1"/>
        <v>8.3166666666666664</v>
      </c>
      <c r="K6" s="13">
        <f t="shared" si="4"/>
        <v>46</v>
      </c>
      <c r="L6" s="14">
        <f>IF(AND((B6 &lt;&gt; ""), (C6 &lt;&gt; ""), (D6 &lt;&gt; ""), (E6 &lt;&gt; "")), IF((((8 - J6) * 60) + 1) &gt; 0, (((8 - J6) * 60) + 1), (((8 - J6) * 60) - 1)), "-")</f>
        <v>-19.999999999999986</v>
      </c>
    </row>
    <row r="7" spans="1:13" ht="36.75" thickBot="1" x14ac:dyDescent="0.6">
      <c r="B7" s="19"/>
      <c r="I7" s="21" t="s">
        <v>10</v>
      </c>
      <c r="J7" s="22">
        <f>SUM(J2:J6)</f>
        <v>41.716666666666669</v>
      </c>
      <c r="K7" s="25">
        <f>IF(SUM(K2:K6) &lt;&gt; 0, ((60*5) - SUM(K2:K6)) / 60, 0)</f>
        <v>1.3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-1.7166666666666686</v>
      </c>
      <c r="K9" s="26"/>
    </row>
    <row r="10" spans="1:13" ht="24" thickBot="1" x14ac:dyDescent="0.4">
      <c r="I10" s="32" t="s">
        <v>21</v>
      </c>
      <c r="J10" s="25">
        <f>IF(J7 &lt; 40, "-", J7-40)</f>
        <v>1.7166666666666686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101" priority="3" operator="greaterThan">
      <formula>3</formula>
    </cfRule>
    <cfRule type="cellIs" dxfId="100" priority="4" operator="lessThan">
      <formula>4</formula>
    </cfRule>
  </conditionalFormatting>
  <conditionalFormatting sqref="J2:J6">
    <cfRule type="cellIs" dxfId="99" priority="8" operator="greaterThan">
      <formula>7.99999999</formula>
    </cfRule>
    <cfRule type="cellIs" dxfId="98" priority="9" operator="lessThan">
      <formula>8</formula>
    </cfRule>
  </conditionalFormatting>
  <conditionalFormatting sqref="J7">
    <cfRule type="cellIs" dxfId="97" priority="10" operator="lessThan">
      <formula>40</formula>
    </cfRule>
    <cfRule type="cellIs" dxfId="96" priority="11" operator="greaterThan">
      <formula>39.999999</formula>
    </cfRule>
  </conditionalFormatting>
  <conditionalFormatting sqref="K7">
    <cfRule type="cellIs" dxfId="95" priority="1" operator="greaterThan">
      <formula>0</formula>
    </cfRule>
    <cfRule type="cellIs" dxfId="94" priority="2" operator="lessThan">
      <formula>0</formula>
    </cfRule>
  </conditionalFormatting>
  <conditionalFormatting sqref="L2:L6">
    <cfRule type="cellIs" dxfId="93" priority="5" operator="equal">
      <formula>"-"</formula>
    </cfRule>
    <cfRule type="cellIs" dxfId="92" priority="6" operator="greaterThan">
      <formula>0.1</formula>
    </cfRule>
    <cfRule type="cellIs" dxfId="91" priority="7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CED9-7C1F-4E5C-BB14-2542C55B392A}">
  <sheetPr codeName="Sheet19"/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3" width="15" style="20" bestFit="1" customWidth="1"/>
    <col min="4" max="4" width="14.5703125" style="20" bestFit="1" customWidth="1"/>
    <col min="5" max="5" width="12.710937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03/16/2026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(16th)</v>
      </c>
      <c r="B2" s="8">
        <v>0.28819444444444442</v>
      </c>
      <c r="C2" s="8">
        <v>0.50138888888888888</v>
      </c>
      <c r="D2" s="8">
        <v>0.53263888888888888</v>
      </c>
      <c r="E2" s="9">
        <v>0.66666666666666663</v>
      </c>
      <c r="F2" s="30">
        <f>IF(G2 &gt;= 8, 4 + COUNT(B2:E2), IF(AND(G2 &gt;= 4, G2 &lt;= 7), 2 + COUNT(B2:E2), COUNT(B2:E2)))</f>
        <v>4</v>
      </c>
      <c r="G2" s="10"/>
      <c r="H2" s="10">
        <f>SUM(C2 - B2) * 24</f>
        <v>5.1166666666666671</v>
      </c>
      <c r="I2" s="11">
        <f>SUM(E2 - D2) * 24</f>
        <v>3.2166666666666659</v>
      </c>
      <c r="J2" s="12">
        <f>H2 + I2 + G2</f>
        <v>8.3333333333333321</v>
      </c>
      <c r="K2" s="13">
        <f>IF(AND(C2 &lt;&gt; "", D2 &lt;&gt; ""), (SUM(D2 - C2) * 1440), " - ")</f>
        <v>45</v>
      </c>
      <c r="L2" s="14">
        <f>IF(AND((B2 &lt;&gt; ""), (C2 &lt;&gt; ""), (D2 &lt;&gt; ""), (E2 &lt;&gt; "")), IF((((8 - J2) * 60) + 1) &gt; 0, (((8 - J2) * 60) + 1), (((8 - J2) * 60) - 1)), "-")</f>
        <v>-20.999999999999929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(17th)</v>
      </c>
      <c r="B3" s="8">
        <v>0.28819444444444442</v>
      </c>
      <c r="C3" s="8">
        <v>0.50069444444444444</v>
      </c>
      <c r="D3" s="8">
        <v>0.53263888888888888</v>
      </c>
      <c r="E3" s="9">
        <v>0.66666666666666663</v>
      </c>
      <c r="F3" s="30">
        <f t="shared" ref="F3:F6" si="0">IF(G3 &gt;= 8, 4 + COUNT(B3:E3), IF(AND(G3 &gt;= 4, G3 &lt;= 7), 2 + COUNT(B3:E3), COUNT(B3:E3)))</f>
        <v>4</v>
      </c>
      <c r="G3" s="10"/>
      <c r="H3" s="10">
        <f>SUM(C3 - B3) * 24</f>
        <v>5.1000000000000005</v>
      </c>
      <c r="I3" s="11">
        <f>SUM(E3 - D3) * 24</f>
        <v>3.2166666666666659</v>
      </c>
      <c r="J3" s="12">
        <f t="shared" ref="J3:J6" si="1">H3 + I3 + G3</f>
        <v>8.3166666666666664</v>
      </c>
      <c r="K3" s="13">
        <f>IF(AND(C3 &lt;&gt; "", D3 &lt;&gt; ""), (SUM(D3 - C3) * 1440), " - ")</f>
        <v>46</v>
      </c>
      <c r="L3" s="14">
        <f>IF(AND((B3 &lt;&gt; ""), (C3 &lt;&gt; ""), (D3 &lt;&gt; ""), (E3 &lt;&gt; "")), IF((((8 - J3) * 60) + 1) &gt; 0, (((8 - J3) * 60) + 1), (((8 - J3) * 60) - 1)), "-")</f>
        <v>-19.999999999999986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(18th)</v>
      </c>
      <c r="B4" s="8">
        <v>0.28819444444444442</v>
      </c>
      <c r="C4" s="8">
        <v>0.57986111111111116</v>
      </c>
      <c r="D4" s="8">
        <v>0.61041666666666672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7.0000000000000018</v>
      </c>
      <c r="I4" s="11">
        <f t="shared" ref="I4:I6" si="3">SUM(E4 - D4) * 24</f>
        <v>1.3499999999999979</v>
      </c>
      <c r="J4" s="12">
        <f t="shared" si="1"/>
        <v>8.35</v>
      </c>
      <c r="K4" s="13">
        <f t="shared" ref="K4:K6" si="4">IF(AND(C4 &lt;&gt; "", D4 &lt;&gt; ""), (SUM(D4 - C4) * 1440), " - ")</f>
        <v>44</v>
      </c>
      <c r="L4" s="14">
        <f t="shared" ref="L4:L5" si="5">IF(AND((B4 &lt;&gt; ""), (C4 &lt;&gt; ""), (D4 &lt;&gt; ""), (E4 &lt;&gt; "")), IF((((8 - J4) * 60) + 1) &gt; 0, (((8 - J4) * 60) + 1), (((8 - J4) * 60) - 1)), "-")</f>
        <v>-21.999999999999979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(19th)</v>
      </c>
      <c r="B5" s="8">
        <v>0.28819444444444442</v>
      </c>
      <c r="C5" s="8">
        <v>0.50694444444444442</v>
      </c>
      <c r="D5" s="8">
        <v>0.53819444444444442</v>
      </c>
      <c r="E5" s="9">
        <v>0.66666666666666663</v>
      </c>
      <c r="F5" s="30">
        <f t="shared" si="0"/>
        <v>4</v>
      </c>
      <c r="G5" s="28"/>
      <c r="H5" s="10">
        <f t="shared" si="2"/>
        <v>5.25</v>
      </c>
      <c r="I5" s="11">
        <f t="shared" si="3"/>
        <v>3.083333333333333</v>
      </c>
      <c r="J5" s="12">
        <f t="shared" si="1"/>
        <v>8.3333333333333321</v>
      </c>
      <c r="K5" s="13">
        <f t="shared" si="4"/>
        <v>45</v>
      </c>
      <c r="L5" s="14">
        <f t="shared" si="5"/>
        <v>-20.999999999999929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(20th)</v>
      </c>
      <c r="B6" s="8">
        <v>0.28819444444444442</v>
      </c>
      <c r="C6" s="8">
        <v>0.50694444444444442</v>
      </c>
      <c r="D6" s="8">
        <v>0.53819444444444442</v>
      </c>
      <c r="E6" s="9">
        <v>0.66666666666666663</v>
      </c>
      <c r="F6" s="30">
        <f t="shared" si="0"/>
        <v>4</v>
      </c>
      <c r="G6" s="10"/>
      <c r="H6" s="10">
        <f>SUM(C6 - B6) * 24</f>
        <v>5.25</v>
      </c>
      <c r="I6" s="11">
        <f t="shared" si="3"/>
        <v>3.083333333333333</v>
      </c>
      <c r="J6" s="12">
        <f t="shared" si="1"/>
        <v>8.3333333333333321</v>
      </c>
      <c r="K6" s="13">
        <f t="shared" si="4"/>
        <v>45</v>
      </c>
      <c r="L6" s="14">
        <f>IF(AND((B6 &lt;&gt; ""), (C6 &lt;&gt; ""), (D6 &lt;&gt; ""), (E6 &lt;&gt; "")), IF((((8 - J6) * 60) + 1) &gt; 0, (((8 - J6) * 60) + 1), (((8 - J6) * 60) - 1)), "-")</f>
        <v>-20.999999999999929</v>
      </c>
    </row>
    <row r="7" spans="1:13" ht="36.75" thickBot="1" x14ac:dyDescent="0.6">
      <c r="B7" s="19"/>
      <c r="I7" s="21" t="s">
        <v>10</v>
      </c>
      <c r="J7" s="22">
        <f>SUM(J2:J6)</f>
        <v>41.666666666666657</v>
      </c>
      <c r="K7" s="33">
        <f>((60*5) - SUM(K2:K6)) / 60</f>
        <v>1.25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-1.6666666666666572</v>
      </c>
      <c r="K9" s="26"/>
    </row>
    <row r="10" spans="1:13" ht="24" thickBot="1" x14ac:dyDescent="0.4">
      <c r="I10" s="32" t="s">
        <v>21</v>
      </c>
      <c r="J10" s="25">
        <f>IF(J7 &lt; 40, "-", J7-40)</f>
        <v>1.6666666666666572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90" priority="1" operator="greaterThan">
      <formula>3</formula>
    </cfRule>
    <cfRule type="cellIs" dxfId="89" priority="2" operator="lessThan">
      <formula>4</formula>
    </cfRule>
  </conditionalFormatting>
  <conditionalFormatting sqref="J2:J6">
    <cfRule type="cellIs" dxfId="88" priority="6" operator="greaterThan">
      <formula>7.99999999</formula>
    </cfRule>
    <cfRule type="cellIs" dxfId="87" priority="7" operator="lessThan">
      <formula>8</formula>
    </cfRule>
  </conditionalFormatting>
  <conditionalFormatting sqref="J7">
    <cfRule type="cellIs" dxfId="86" priority="8" operator="lessThan">
      <formula>40</formula>
    </cfRule>
    <cfRule type="cellIs" dxfId="85" priority="9" operator="greaterThan">
      <formula>39.999999</formula>
    </cfRule>
  </conditionalFormatting>
  <conditionalFormatting sqref="L2:L6">
    <cfRule type="cellIs" dxfId="84" priority="3" operator="equal">
      <formula>"-"</formula>
    </cfRule>
    <cfRule type="cellIs" dxfId="83" priority="4" operator="greaterThan">
      <formula>0.1</formula>
    </cfRule>
    <cfRule type="cellIs" dxfId="82" priority="5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75678-8DD4-41DB-BC9F-367C263DFB6D}">
  <sheetPr codeName="Sheet20"/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3" width="15" style="20" bestFit="1" customWidth="1"/>
    <col min="4" max="4" width="14.5703125" style="20" bestFit="1" customWidth="1"/>
    <col min="5" max="5" width="12.7109375" style="20" bestFit="1" customWidth="1"/>
    <col min="6" max="6" width="18.42578125" style="20" bestFit="1" customWidth="1"/>
    <col min="7" max="7" width="35.7109375" style="20" bestFit="1" customWidth="1"/>
    <col min="8" max="8" width="15.7109375" style="20" bestFit="1" customWidth="1"/>
    <col min="9" max="9" width="20.140625" style="20" bestFit="1" customWidth="1"/>
    <col min="10" max="10" width="17.7109375" style="20" bestFit="1" customWidth="1"/>
    <col min="11" max="11" width="11" bestFit="1" customWidth="1"/>
    <col min="12" max="12" width="20.42578125" bestFit="1" customWidth="1"/>
  </cols>
  <sheetData>
    <row r="1" spans="1:13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03/09/2026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24</v>
      </c>
      <c r="H1" s="6" t="s">
        <v>22</v>
      </c>
      <c r="I1" s="6" t="s">
        <v>23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(9th)</v>
      </c>
      <c r="B2" s="8">
        <v>0.28819444444444442</v>
      </c>
      <c r="C2" s="8">
        <v>0.47916666666666669</v>
      </c>
      <c r="D2" s="8">
        <v>0.51527777777777772</v>
      </c>
      <c r="E2" s="9">
        <v>0.66666666666666663</v>
      </c>
      <c r="F2" s="30">
        <f>IF(G2 &gt;= 8, 4 + COUNT(B2:E2), IF(AND(G2 &gt;= 4, G2 &lt;= 7), 2 + COUNT(B2:E2), COUNT(B2:E2)))</f>
        <v>4</v>
      </c>
      <c r="G2" s="10"/>
      <c r="H2" s="10">
        <f>SUM(C2 - B2) * 24</f>
        <v>4.5833333333333339</v>
      </c>
      <c r="I2" s="11">
        <f>SUM(E2 - D2) * 24</f>
        <v>3.6333333333333337</v>
      </c>
      <c r="J2" s="12">
        <f>H2 + I2 + G2</f>
        <v>8.2166666666666686</v>
      </c>
      <c r="K2" s="13">
        <f>IF(AND(C2 &lt;&gt; "", D2 &lt;&gt; ""), (SUM(D2 - C2) * 1440), " - ")</f>
        <v>51.999999999999893</v>
      </c>
      <c r="L2" s="14">
        <f>IF(AND((B2 &lt;&gt; ""), (C2 &lt;&gt; ""), (D2 &lt;&gt; ""), (E2 &lt;&gt; "")), IF((((8 - J2) * 60) + 1) &gt; 0, (((8 - J2) * 60) + 1), (((8 - J2) * 60) - 1)), "-")</f>
        <v>-14.000000000000114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(10th)</v>
      </c>
      <c r="B3" s="8">
        <v>0.28819444444444442</v>
      </c>
      <c r="C3" s="8">
        <v>0.52083333333333337</v>
      </c>
      <c r="D3" s="8">
        <v>0.55208333333333337</v>
      </c>
      <c r="E3" s="9">
        <v>0.66736111111111107</v>
      </c>
      <c r="F3" s="30">
        <f t="shared" ref="F3:F6" si="0">IF(G3 &gt;= 8, 4 + COUNT(B3:E3), IF(AND(G3 &gt;= 4, G3 &lt;= 7), 2 + COUNT(B3:E3), COUNT(B3:E3)))</f>
        <v>4</v>
      </c>
      <c r="G3" s="10"/>
      <c r="H3" s="10">
        <f>SUM(C3 - B3) * 24</f>
        <v>5.5833333333333348</v>
      </c>
      <c r="I3" s="11">
        <f>SUM(E3 - D3) * 24</f>
        <v>2.7666666666666648</v>
      </c>
      <c r="J3" s="12">
        <f t="shared" ref="J3:J6" si="1">H3 + I3 + G3</f>
        <v>8.35</v>
      </c>
      <c r="K3" s="13">
        <f>IF(AND(C3 &lt;&gt; "", D3 &lt;&gt; ""), (SUM(D3 - C3) * 1440), " - ")</f>
        <v>45</v>
      </c>
      <c r="L3" s="14">
        <f>IF(AND((B3 &lt;&gt; ""), (C3 &lt;&gt; ""), (D3 &lt;&gt; ""), (E3 &lt;&gt; "")), IF((((8 - J3) * 60) + 1) &gt; 0, (((8 - J3) * 60) + 1), (((8 - J3) * 60) - 1)), "-")</f>
        <v>-21.999999999999979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(11th)</v>
      </c>
      <c r="B4" s="8">
        <v>0.28819444444444442</v>
      </c>
      <c r="C4" s="8">
        <v>0.54027777777777775</v>
      </c>
      <c r="D4" s="8">
        <v>0.5708333333333333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6.05</v>
      </c>
      <c r="I4" s="11">
        <f t="shared" ref="I4:I6" si="3">SUM(E4 - D4) * 24</f>
        <v>2.2999999999999998</v>
      </c>
      <c r="J4" s="12">
        <f t="shared" si="1"/>
        <v>8.35</v>
      </c>
      <c r="K4" s="13">
        <f t="shared" ref="K4:K6" si="4">IF(AND(C4 &lt;&gt; "", D4 &lt;&gt; ""), (SUM(D4 - C4) * 1440), " - ")</f>
        <v>44</v>
      </c>
      <c r="L4" s="14">
        <f t="shared" ref="L4:L5" si="5">IF(AND((B4 &lt;&gt; ""), (C4 &lt;&gt; ""), (D4 &lt;&gt; ""), (E4 &lt;&gt; "")), IF((((8 - J4) * 60) + 1) &gt; 0, (((8 - J4) * 60) + 1), (((8 - J4) * 60) - 1)), "-")</f>
        <v>-21.999999999999979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(12th)</v>
      </c>
      <c r="B5" s="8">
        <v>0.28888888888888886</v>
      </c>
      <c r="C5" s="8">
        <v>0.49791666666666667</v>
      </c>
      <c r="D5" s="8">
        <v>0.52916666666666667</v>
      </c>
      <c r="E5" s="9">
        <v>0.625</v>
      </c>
      <c r="F5" s="30">
        <f t="shared" si="0"/>
        <v>4</v>
      </c>
      <c r="G5" s="28">
        <v>1</v>
      </c>
      <c r="H5" s="10">
        <f t="shared" si="2"/>
        <v>5.0166666666666675</v>
      </c>
      <c r="I5" s="11">
        <f t="shared" si="3"/>
        <v>2.2999999999999998</v>
      </c>
      <c r="J5" s="12">
        <f t="shared" si="1"/>
        <v>8.3166666666666664</v>
      </c>
      <c r="K5" s="13">
        <f t="shared" si="4"/>
        <v>45</v>
      </c>
      <c r="L5" s="14">
        <f t="shared" si="5"/>
        <v>-19.999999999999986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(13th)</v>
      </c>
      <c r="B6" s="8">
        <v>0.28819444444444442</v>
      </c>
      <c r="C6" s="8">
        <v>0.50208333333333333</v>
      </c>
      <c r="D6" s="8">
        <v>0.53263888888888888</v>
      </c>
      <c r="E6" s="9">
        <v>0.66666666666666663</v>
      </c>
      <c r="F6" s="30">
        <f t="shared" si="0"/>
        <v>4</v>
      </c>
      <c r="G6" s="10"/>
      <c r="H6" s="10">
        <f>SUM(C6 - B6) * 24</f>
        <v>5.1333333333333337</v>
      </c>
      <c r="I6" s="11">
        <f t="shared" si="3"/>
        <v>3.2166666666666659</v>
      </c>
      <c r="J6" s="12">
        <f t="shared" si="1"/>
        <v>8.35</v>
      </c>
      <c r="K6" s="13">
        <f t="shared" si="4"/>
        <v>44</v>
      </c>
      <c r="L6" s="14">
        <f>IF(AND((B6 &lt;&gt; ""), (C6 &lt;&gt; ""), (D6 &lt;&gt; ""), (E6 &lt;&gt; "")), IF((((8 - J6) * 60) + 1) &gt; 0, (((8 - J6) * 60) + 1), (((8 - J6) * 60) - 1)), "-")</f>
        <v>-21.999999999999979</v>
      </c>
    </row>
    <row r="7" spans="1:13" ht="36.75" thickBot="1" x14ac:dyDescent="0.6">
      <c r="B7" s="19"/>
      <c r="I7" s="21" t="s">
        <v>10</v>
      </c>
      <c r="J7" s="22">
        <f>SUM(J2:J6)</f>
        <v>41.583333333333336</v>
      </c>
      <c r="K7" s="33">
        <f>((60*5) - SUM(K2:K6)) / 60</f>
        <v>1.1666666666666685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-1.5833333333333357</v>
      </c>
      <c r="K9" s="26"/>
    </row>
    <row r="10" spans="1:13" ht="24" thickBot="1" x14ac:dyDescent="0.4">
      <c r="I10" s="32" t="s">
        <v>21</v>
      </c>
      <c r="J10" s="25">
        <f>IF(J7 &lt; 40, "-", J7-40)</f>
        <v>1.5833333333333357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81" priority="1" operator="greaterThan">
      <formula>3</formula>
    </cfRule>
    <cfRule type="cellIs" dxfId="80" priority="2" operator="lessThan">
      <formula>4</formula>
    </cfRule>
  </conditionalFormatting>
  <conditionalFormatting sqref="J2:J6">
    <cfRule type="cellIs" dxfId="79" priority="6" operator="greaterThan">
      <formula>7.99999999</formula>
    </cfRule>
    <cfRule type="cellIs" dxfId="78" priority="7" operator="lessThan">
      <formula>8</formula>
    </cfRule>
  </conditionalFormatting>
  <conditionalFormatting sqref="J7">
    <cfRule type="cellIs" dxfId="77" priority="8" operator="lessThan">
      <formula>40</formula>
    </cfRule>
    <cfRule type="cellIs" dxfId="76" priority="9" operator="greaterThan">
      <formula>39.999999</formula>
    </cfRule>
  </conditionalFormatting>
  <conditionalFormatting sqref="L2:L6">
    <cfRule type="cellIs" dxfId="75" priority="3" operator="equal">
      <formula>"-"</formula>
    </cfRule>
    <cfRule type="cellIs" dxfId="74" priority="4" operator="greaterThan">
      <formula>0.1</formula>
    </cfRule>
    <cfRule type="cellIs" dxfId="73" priority="5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6F94-B8B8-465C-9353-6F78C34B9117}">
  <sheetPr codeName="Sheet21"/>
  <dimension ref="A1:M25"/>
  <sheetViews>
    <sheetView zoomScale="85" zoomScaleNormal="85" workbookViewId="0"/>
  </sheetViews>
  <sheetFormatPr defaultRowHeight="23.25" x14ac:dyDescent="0.35"/>
  <cols>
    <col min="1" max="1" width="18.42578125" style="18" bestFit="1" customWidth="1"/>
    <col min="2" max="2" width="13.140625" style="20" bestFit="1" customWidth="1"/>
    <col min="3" max="5" width="15" style="20" bestFit="1" customWidth="1"/>
    <col min="6" max="6" width="18.42578125" style="20" bestFit="1" customWidth="1"/>
    <col min="7" max="7" width="30.5703125" style="20" bestFit="1" customWidth="1"/>
    <col min="8" max="8" width="13.7109375" style="20" bestFit="1" customWidth="1"/>
    <col min="9" max="9" width="20.140625" style="20" bestFit="1" customWidth="1"/>
    <col min="10" max="10" width="17.7109375" style="20" bestFit="1" customWidth="1"/>
    <col min="11" max="11" width="11" customWidth="1"/>
    <col min="12" max="12" width="20.42578125" bestFit="1" customWidth="1"/>
  </cols>
  <sheetData>
    <row r="1" spans="1:13" ht="46.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03/02/2026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15</v>
      </c>
      <c r="H1" s="6" t="s">
        <v>12</v>
      </c>
      <c r="I1" s="3" t="s">
        <v>13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(2nd)</v>
      </c>
      <c r="B2" s="8">
        <v>0.28819444444444442</v>
      </c>
      <c r="C2" s="8">
        <v>0.55208333333333337</v>
      </c>
      <c r="D2" s="8">
        <v>0.57638888888888884</v>
      </c>
      <c r="E2" s="9">
        <v>0.66666666666666663</v>
      </c>
      <c r="F2" s="30">
        <f>IF(G2 &gt;= 8, 4 + COUNT(B2:E2), IF(AND(G2 &gt;= 4, G2 &lt;= 7), 2 + COUNT(B2:E2), COUNT(B2:E2)))</f>
        <v>4</v>
      </c>
      <c r="G2" s="10"/>
      <c r="H2" s="10">
        <f>SUM(C2 - B2) * 24</f>
        <v>6.3333333333333348</v>
      </c>
      <c r="I2" s="11">
        <f>SUM(E2 - D2) * 24</f>
        <v>2.166666666666667</v>
      </c>
      <c r="J2" s="12">
        <f>H2 + I2 + G2</f>
        <v>8.5000000000000018</v>
      </c>
      <c r="K2" s="13">
        <f>IF(AND(C2 &lt;&gt; "", D2 &lt;&gt; ""), (SUM(D2 - C2) * 1440), " - ")</f>
        <v>34.999999999999872</v>
      </c>
      <c r="L2" s="14">
        <f>IF(AND((B2 &lt;&gt; ""), (C2 &lt;&gt; ""), (D2 &lt;&gt; ""), (E2 &lt;&gt; "")), IF((((8 - J2) * 60) + 1) &gt; 0, (((8 - J2) * 60) + 1), (((8 - J2) * 60) - 1)), "-")</f>
        <v>-31.000000000000107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(3rd)</v>
      </c>
      <c r="B3" s="8">
        <v>0.28819444444444442</v>
      </c>
      <c r="C3" s="8">
        <v>0.50763888888888886</v>
      </c>
      <c r="D3" s="8">
        <v>0.53888888888888886</v>
      </c>
      <c r="E3" s="9">
        <v>0.66805555555555551</v>
      </c>
      <c r="F3" s="30">
        <f t="shared" ref="F3:F6" si="0">IF(G3 &gt;= 8, 4 + COUNT(B3:E3), IF(AND(G3 &gt;= 4, G3 &lt;= 7), 2 + COUNT(B3:E3), COUNT(B3:E3)))</f>
        <v>4</v>
      </c>
      <c r="G3" s="10"/>
      <c r="H3" s="10">
        <f>SUM(C3 - B3) * 24</f>
        <v>5.2666666666666666</v>
      </c>
      <c r="I3" s="11">
        <f>SUM(E3 - D3) * 24</f>
        <v>3.0999999999999996</v>
      </c>
      <c r="J3" s="12">
        <f t="shared" ref="J3:J6" si="1">H3 + I3 + G3</f>
        <v>8.3666666666666671</v>
      </c>
      <c r="K3" s="13">
        <f>IF(AND(C3 &lt;&gt; "", D3 &lt;&gt; ""), (SUM(D3 - C3) * 1440), " - ")</f>
        <v>45</v>
      </c>
      <c r="L3" s="14">
        <f>IF(AND((B3 &lt;&gt; ""), (C3 &lt;&gt; ""), (D3 &lt;&gt; ""), (E3 &lt;&gt; "")), IF((((8 - J3) * 60) + 1) &gt; 0, (((8 - J3) * 60) + 1), (((8 - J3) * 60) - 1)), "-")</f>
        <v>-23.000000000000028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(4th)</v>
      </c>
      <c r="B4" s="8">
        <v>0.28819444444444442</v>
      </c>
      <c r="C4" s="8">
        <v>0.51527777777777772</v>
      </c>
      <c r="D4" s="8">
        <v>0.54513888888888884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5.4499999999999993</v>
      </c>
      <c r="I4" s="11">
        <f t="shared" ref="I4:I6" si="3">SUM(E4 - D4) * 24</f>
        <v>2.916666666666667</v>
      </c>
      <c r="J4" s="12">
        <f t="shared" si="1"/>
        <v>8.3666666666666671</v>
      </c>
      <c r="K4" s="13">
        <f t="shared" ref="K4:K6" si="4">IF(AND(C4 &lt;&gt; "", D4 &lt;&gt; ""), (SUM(D4 - C4) * 1440), " - ")</f>
        <v>43.000000000000007</v>
      </c>
      <c r="L4" s="14">
        <f t="shared" ref="L4:L5" si="5">IF(AND((B4 &lt;&gt; ""), (C4 &lt;&gt; ""), (D4 &lt;&gt; ""), (E4 &lt;&gt; "")), IF((((8 - J4) * 60) + 1) &gt; 0, (((8 - J4) * 60) + 1), (((8 - J4) * 60) - 1)), "-")</f>
        <v>-23.000000000000028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(5th)</v>
      </c>
      <c r="B5" s="8">
        <v>0.28819444444444442</v>
      </c>
      <c r="C5" s="8">
        <v>0.48819444444444443</v>
      </c>
      <c r="D5" s="8">
        <v>0.51875000000000004</v>
      </c>
      <c r="E5" s="9">
        <v>0.66666666666666663</v>
      </c>
      <c r="F5" s="30">
        <f t="shared" si="0"/>
        <v>4</v>
      </c>
      <c r="G5" s="28"/>
      <c r="H5" s="10">
        <f t="shared" si="2"/>
        <v>4.8000000000000007</v>
      </c>
      <c r="I5" s="11">
        <f t="shared" si="3"/>
        <v>3.549999999999998</v>
      </c>
      <c r="J5" s="12">
        <f t="shared" si="1"/>
        <v>8.3499999999999979</v>
      </c>
      <c r="K5" s="13">
        <f t="shared" si="4"/>
        <v>44.000000000000085</v>
      </c>
      <c r="L5" s="14">
        <f t="shared" si="5"/>
        <v>-21.999999999999872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(6th)</v>
      </c>
      <c r="B6" s="8">
        <v>0.28819444444444442</v>
      </c>
      <c r="C6" s="8">
        <v>0.45763888888888887</v>
      </c>
      <c r="D6" s="8">
        <v>0.48819444444444443</v>
      </c>
      <c r="E6" s="9">
        <v>0.66666666666666663</v>
      </c>
      <c r="F6" s="30">
        <f t="shared" si="0"/>
        <v>4</v>
      </c>
      <c r="G6" s="10"/>
      <c r="H6" s="10">
        <f>SUM(C6 - B6) * 24</f>
        <v>4.0666666666666664</v>
      </c>
      <c r="I6" s="11">
        <f t="shared" si="3"/>
        <v>4.2833333333333332</v>
      </c>
      <c r="J6" s="12">
        <f t="shared" si="1"/>
        <v>8.35</v>
      </c>
      <c r="K6" s="13">
        <f t="shared" si="4"/>
        <v>44</v>
      </c>
      <c r="L6" s="14">
        <f>IF(AND((B6 &lt;&gt; ""), (C6 &lt;&gt; ""), (D6 &lt;&gt; ""), (E6 &lt;&gt; "")), IF((((8 - J6) * 60) + 1) &gt; 0, (((8 - J6) * 60) + 1), (((8 - J6) * 60) - 1)), "-")</f>
        <v>-21.999999999999979</v>
      </c>
    </row>
    <row r="7" spans="1:13" ht="36.75" thickBot="1" x14ac:dyDescent="0.6">
      <c r="B7" s="19"/>
      <c r="I7" s="21" t="s">
        <v>10</v>
      </c>
      <c r="J7" s="22">
        <f>SUM(J2:J6)</f>
        <v>41.93333333333333</v>
      </c>
      <c r="K7" s="33">
        <f>((60*5) - SUM(K2:K6)) / 60</f>
        <v>1.4833333333333338</v>
      </c>
    </row>
    <row r="8" spans="1:13" ht="24" thickBot="1" x14ac:dyDescent="0.4"/>
    <row r="9" spans="1:13" ht="24" thickBot="1" x14ac:dyDescent="0.4">
      <c r="B9" s="19"/>
      <c r="G9" s="23"/>
      <c r="I9" s="32" t="s">
        <v>11</v>
      </c>
      <c r="J9" s="25">
        <f>40-J7</f>
        <v>-1.93333333333333</v>
      </c>
      <c r="K9" s="26"/>
    </row>
    <row r="10" spans="1:13" ht="24" thickBot="1" x14ac:dyDescent="0.4">
      <c r="I10" s="32" t="s">
        <v>21</v>
      </c>
      <c r="J10" s="25">
        <f>IF(J7 &lt; 40, "-", J7-40)</f>
        <v>1.93333333333333</v>
      </c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72" priority="1" operator="greaterThan">
      <formula>3</formula>
    </cfRule>
    <cfRule type="cellIs" dxfId="71" priority="2" operator="lessThan">
      <formula>4</formula>
    </cfRule>
  </conditionalFormatting>
  <conditionalFormatting sqref="J2:J6">
    <cfRule type="cellIs" dxfId="70" priority="6" operator="greaterThan">
      <formula>7.99999999</formula>
    </cfRule>
    <cfRule type="cellIs" dxfId="69" priority="7" operator="lessThan">
      <formula>8</formula>
    </cfRule>
  </conditionalFormatting>
  <conditionalFormatting sqref="J7">
    <cfRule type="cellIs" dxfId="68" priority="8" operator="lessThan">
      <formula>40</formula>
    </cfRule>
    <cfRule type="cellIs" dxfId="67" priority="9" operator="greaterThan">
      <formula>39.999999</formula>
    </cfRule>
  </conditionalFormatting>
  <conditionalFormatting sqref="L2:L6">
    <cfRule type="cellIs" dxfId="66" priority="3" operator="equal">
      <formula>"-"</formula>
    </cfRule>
    <cfRule type="cellIs" dxfId="65" priority="4" operator="greaterThan">
      <formula>0.1</formula>
    </cfRule>
    <cfRule type="cellIs" dxfId="64" priority="5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2D25-AB37-4043-9F9F-6F62C5CF4383}">
  <sheetPr codeName="Sheet22"/>
  <dimension ref="A1:M25"/>
  <sheetViews>
    <sheetView zoomScale="85" zoomScaleNormal="85" workbookViewId="0"/>
  </sheetViews>
  <sheetFormatPr defaultRowHeight="23.25" x14ac:dyDescent="0.35"/>
  <cols>
    <col min="1" max="1" width="18.42578125" style="18" bestFit="1" customWidth="1"/>
    <col min="2" max="2" width="13.140625" style="20" bestFit="1" customWidth="1"/>
    <col min="3" max="3" width="15" style="20" bestFit="1" customWidth="1"/>
    <col min="4" max="4" width="14.5703125" style="20" bestFit="1" customWidth="1"/>
    <col min="5" max="5" width="15" style="20" bestFit="1" customWidth="1"/>
    <col min="6" max="6" width="18.42578125" style="20" bestFit="1" customWidth="1"/>
    <col min="7" max="7" width="30.5703125" style="20" bestFit="1" customWidth="1"/>
    <col min="8" max="8" width="13.7109375" style="20" bestFit="1" customWidth="1"/>
    <col min="9" max="9" width="20.140625" style="20" bestFit="1" customWidth="1"/>
    <col min="10" max="10" width="17.7109375" style="20" bestFit="1" customWidth="1"/>
    <col min="11" max="11" width="11" customWidth="1"/>
    <col min="12" max="12" width="20.42578125" bestFit="1" customWidth="1"/>
  </cols>
  <sheetData>
    <row r="1" spans="1:13" ht="46.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02/23/2026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15</v>
      </c>
      <c r="H1" s="6" t="s">
        <v>12</v>
      </c>
      <c r="I1" s="3" t="s">
        <v>13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(23rd)</v>
      </c>
      <c r="B2" s="8">
        <v>0.28819444444444442</v>
      </c>
      <c r="C2" s="8">
        <v>0.52222222222222225</v>
      </c>
      <c r="D2" s="8">
        <v>0.55277777777777781</v>
      </c>
      <c r="E2" s="9">
        <v>0.625</v>
      </c>
      <c r="F2" s="30">
        <f>COUNT(B2:E2)</f>
        <v>4</v>
      </c>
      <c r="G2" s="10"/>
      <c r="H2" s="10">
        <f>SUM(C2 - B2) * 24</f>
        <v>5.616666666666668</v>
      </c>
      <c r="I2" s="11">
        <f>SUM(E2 - D2) * 24</f>
        <v>1.7333333333333325</v>
      </c>
      <c r="J2" s="12">
        <f>H2 + I2 + G2</f>
        <v>7.3500000000000005</v>
      </c>
      <c r="K2" s="13">
        <f>IF(AND(C2 &lt;&gt; "", D2 &lt;&gt; ""), (SUM(D2 - C2) * 1440), " - ")</f>
        <v>44</v>
      </c>
      <c r="L2" s="14">
        <f>IF(AND((B2 &lt;&gt; ""), (C2 &lt;&gt; ""), (D2 &lt;&gt; ""), (E2 &lt;&gt; "")), IF((((8 - J2) * 60) + 1) &gt; 0, (((8 - J2) * 60) + 1), (((8 - J2) * 60) - 1)), "-")</f>
        <v>39.999999999999972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(24th)</v>
      </c>
      <c r="B3" s="8">
        <v>0.28819444444444442</v>
      </c>
      <c r="C3" s="8">
        <v>0.50069444444444444</v>
      </c>
      <c r="D3" s="8">
        <v>0.53125</v>
      </c>
      <c r="E3" s="9">
        <v>0.66666666666666663</v>
      </c>
      <c r="F3" s="30">
        <f t="shared" ref="F3:F5" si="0">COUNT(B3:E3)</f>
        <v>4</v>
      </c>
      <c r="G3" s="10"/>
      <c r="H3" s="10">
        <f>SUM(C3 - B3) * 24</f>
        <v>5.1000000000000005</v>
      </c>
      <c r="I3" s="11">
        <f>SUM(E3 - D3) * 24</f>
        <v>3.2499999999999991</v>
      </c>
      <c r="J3" s="12">
        <f t="shared" ref="J3:J6" si="1">H3 + I3 + G3</f>
        <v>8.35</v>
      </c>
      <c r="K3" s="13">
        <f>IF(AND(C3 &lt;&gt; "", D3 &lt;&gt; ""), (SUM(D3 - C3) * 1440), " - ")</f>
        <v>44</v>
      </c>
      <c r="L3" s="14">
        <f>IF(AND((B3 &lt;&gt; ""), (C3 &lt;&gt; ""), (D3 &lt;&gt; ""), (E3 &lt;&gt; "")), IF((((8 - J3) * 60) + 1) &gt; 0, (((8 - J3) * 60) + 1), (((8 - J3) * 60) - 1)), "-")</f>
        <v>-21.999999999999979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(25th)</v>
      </c>
      <c r="B4" s="8">
        <v>0.28819444444444442</v>
      </c>
      <c r="C4" s="8">
        <v>0.54236111111111107</v>
      </c>
      <c r="D4" s="8">
        <v>0.57291666666666663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6.1</v>
      </c>
      <c r="I4" s="11">
        <f t="shared" ref="I4:I6" si="3">SUM(E4 - D4) * 24</f>
        <v>2.25</v>
      </c>
      <c r="J4" s="12">
        <f t="shared" si="1"/>
        <v>8.35</v>
      </c>
      <c r="K4" s="13">
        <f t="shared" ref="K4:K6" si="4">IF(AND(C4 &lt;&gt; "", D4 &lt;&gt; ""), (SUM(D4 - C4) * 1440), " - ")</f>
        <v>44</v>
      </c>
      <c r="L4" s="14">
        <f t="shared" ref="L4:L5" si="5">IF(AND((B4 &lt;&gt; ""), (C4 &lt;&gt; ""), (D4 &lt;&gt; ""), (E4 &lt;&gt; "")), IF((((8 - J4) * 60) + 1) &gt; 0, (((8 - J4) * 60) + 1), (((8 - J4) * 60) - 1)), "-")</f>
        <v>-21.999999999999979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(26th)</v>
      </c>
      <c r="B5" s="8">
        <v>0.28819444444444442</v>
      </c>
      <c r="C5" s="8">
        <v>0.52013888888888893</v>
      </c>
      <c r="D5" s="8">
        <v>0.55069444444444449</v>
      </c>
      <c r="E5" s="9">
        <v>0.66666666666666663</v>
      </c>
      <c r="F5" s="30">
        <f t="shared" si="0"/>
        <v>4</v>
      </c>
      <c r="G5" s="28"/>
      <c r="H5" s="10">
        <f t="shared" si="2"/>
        <v>5.5666666666666682</v>
      </c>
      <c r="I5" s="11">
        <f t="shared" si="3"/>
        <v>2.7833333333333314</v>
      </c>
      <c r="J5" s="12">
        <f t="shared" si="1"/>
        <v>8.35</v>
      </c>
      <c r="K5" s="13">
        <f t="shared" si="4"/>
        <v>44</v>
      </c>
      <c r="L5" s="14">
        <f t="shared" si="5"/>
        <v>-21.999999999999979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(27th)</v>
      </c>
      <c r="B6" s="27"/>
      <c r="C6" s="27"/>
      <c r="D6" s="27"/>
      <c r="E6" s="31"/>
      <c r="F6" s="30">
        <f>IF(G6 = 8, 4, IF(G6 = 4, 2, COUNT(B6:E6)))</f>
        <v>4</v>
      </c>
      <c r="G6" s="10">
        <v>8</v>
      </c>
      <c r="H6" s="10">
        <f>SUM(C6 - B6) * 24</f>
        <v>0</v>
      </c>
      <c r="I6" s="11">
        <f t="shared" si="3"/>
        <v>0</v>
      </c>
      <c r="J6" s="12">
        <f t="shared" si="1"/>
        <v>8</v>
      </c>
      <c r="K6" s="13" t="str">
        <f t="shared" si="4"/>
        <v xml:space="preserve"> - </v>
      </c>
      <c r="L6" s="14" t="str">
        <f>IF(AND((B6 &lt;&gt; ""), (C6 &lt;&gt; ""), (D6 &lt;&gt; ""), (E6 &lt;&gt; "")), IF((((8 - J6) * 60) + 1) &gt; 0, (((8 - J6) * 60) + 1), (((8 - J6) * 60) - 1)), "-")</f>
        <v>-</v>
      </c>
    </row>
    <row r="7" spans="1:13" ht="36.75" thickBot="1" x14ac:dyDescent="0.6">
      <c r="B7" s="19"/>
      <c r="I7" s="21" t="s">
        <v>10</v>
      </c>
      <c r="J7" s="22">
        <f>SUM(J2:J6)</f>
        <v>40.4</v>
      </c>
    </row>
    <row r="8" spans="1:13" ht="24" thickBot="1" x14ac:dyDescent="0.4"/>
    <row r="9" spans="1:13" ht="24" thickBot="1" x14ac:dyDescent="0.4">
      <c r="B9" s="19"/>
      <c r="G9" s="23"/>
      <c r="I9" s="24" t="s">
        <v>11</v>
      </c>
      <c r="J9" s="25">
        <f>40-J7</f>
        <v>-0.39999999999999858</v>
      </c>
      <c r="K9" s="26"/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63" priority="1" operator="greaterThan">
      <formula>3</formula>
    </cfRule>
    <cfRule type="cellIs" dxfId="62" priority="2" operator="lessThan">
      <formula>4</formula>
    </cfRule>
  </conditionalFormatting>
  <conditionalFormatting sqref="J2:J6">
    <cfRule type="cellIs" dxfId="61" priority="6" operator="greaterThan">
      <formula>7.99999999</formula>
    </cfRule>
    <cfRule type="cellIs" dxfId="60" priority="7" operator="lessThan">
      <formula>8</formula>
    </cfRule>
  </conditionalFormatting>
  <conditionalFormatting sqref="J7">
    <cfRule type="cellIs" dxfId="59" priority="8" operator="lessThan">
      <formula>40</formula>
    </cfRule>
    <cfRule type="cellIs" dxfId="58" priority="9" operator="greaterThan">
      <formula>39.999999</formula>
    </cfRule>
  </conditionalFormatting>
  <conditionalFormatting sqref="L2:L6">
    <cfRule type="cellIs" dxfId="57" priority="3" operator="equal">
      <formula>"-"</formula>
    </cfRule>
    <cfRule type="cellIs" dxfId="56" priority="4" operator="greaterThan">
      <formula>0.1</formula>
    </cfRule>
    <cfRule type="cellIs" dxfId="55" priority="5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B208D-7788-4F4C-BA6F-08A0CD669B15}">
  <sheetPr codeName="Sheet23"/>
  <dimension ref="A1:M25"/>
  <sheetViews>
    <sheetView zoomScale="85" zoomScaleNormal="85" workbookViewId="0"/>
  </sheetViews>
  <sheetFormatPr defaultRowHeight="23.25" x14ac:dyDescent="0.35"/>
  <cols>
    <col min="1" max="1" width="18.42578125" style="18" bestFit="1" customWidth="1"/>
    <col min="2" max="2" width="13.140625" style="20" bestFit="1" customWidth="1"/>
    <col min="3" max="3" width="15" style="20" bestFit="1" customWidth="1"/>
    <col min="4" max="4" width="14.5703125" style="20" bestFit="1" customWidth="1"/>
    <col min="5" max="5" width="12.7109375" style="20" bestFit="1" customWidth="1"/>
    <col min="6" max="6" width="18.42578125" style="20" bestFit="1" customWidth="1"/>
    <col min="7" max="7" width="30.5703125" style="20" bestFit="1" customWidth="1"/>
    <col min="8" max="8" width="13.7109375" style="20" bestFit="1" customWidth="1"/>
    <col min="9" max="9" width="20.140625" style="20" bestFit="1" customWidth="1"/>
    <col min="10" max="10" width="17.7109375" style="20" bestFit="1" customWidth="1"/>
    <col min="11" max="11" width="11" customWidth="1"/>
    <col min="12" max="12" width="20.42578125" bestFit="1" customWidth="1"/>
  </cols>
  <sheetData>
    <row r="1" spans="1:13" ht="46.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02/16/2026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15</v>
      </c>
      <c r="H1" s="6" t="s">
        <v>12</v>
      </c>
      <c r="I1" s="3" t="s">
        <v>13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(16th)</v>
      </c>
      <c r="B2" s="8">
        <v>0.28819444444444442</v>
      </c>
      <c r="C2" s="8">
        <v>0.55902777777777779</v>
      </c>
      <c r="D2" s="8">
        <v>0.58958333333333335</v>
      </c>
      <c r="E2" s="9">
        <v>0.66666666666666663</v>
      </c>
      <c r="F2" s="30">
        <f>COUNT(B2:E2)</f>
        <v>4</v>
      </c>
      <c r="G2" s="10"/>
      <c r="H2" s="10">
        <f>SUM(C2 - B2) * 24</f>
        <v>6.5000000000000009</v>
      </c>
      <c r="I2" s="11">
        <f>SUM(E2 - D2) * 24</f>
        <v>1.8499999999999988</v>
      </c>
      <c r="J2" s="12">
        <f>H2 + I2 + G2</f>
        <v>8.35</v>
      </c>
      <c r="K2" s="13">
        <f>IF(AND(C2 &lt;&gt; "", D2 &lt;&gt; ""), (SUM(D2 - C2) * 1440), " - ")</f>
        <v>44</v>
      </c>
      <c r="L2" s="14">
        <f>IF(AND((B2 &lt;&gt; ""), (C2 &lt;&gt; ""), (D2 &lt;&gt; ""), (E2 &lt;&gt; "")), IF((((8 - J2) * 60) + 1) &gt; 0, (((8 - J2) * 60) + 1), (((8 - J2) * 60) - 1)), "-")</f>
        <v>-21.999999999999979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(17th)</v>
      </c>
      <c r="B3" s="8">
        <v>0.28819444444444442</v>
      </c>
      <c r="C3" s="8">
        <v>0.47708333333333336</v>
      </c>
      <c r="D3" s="8">
        <v>0.50763888888888886</v>
      </c>
      <c r="E3" s="9">
        <v>0.66666666666666663</v>
      </c>
      <c r="F3" s="30">
        <f t="shared" ref="F3:F6" si="0">COUNT(B3:E3)</f>
        <v>4</v>
      </c>
      <c r="G3" s="10"/>
      <c r="H3" s="10">
        <f>SUM(C3 - B3) * 24</f>
        <v>4.533333333333335</v>
      </c>
      <c r="I3" s="11">
        <f>SUM(E3 - D3) * 24</f>
        <v>3.8166666666666664</v>
      </c>
      <c r="J3" s="12">
        <f t="shared" ref="J3:J6" si="1">H3 + I3 + G3</f>
        <v>8.3500000000000014</v>
      </c>
      <c r="K3" s="13">
        <f>IF(AND(C3 &lt;&gt; "", D3 &lt;&gt; ""), (SUM(D3 - C3) * 1440), " - ")</f>
        <v>43.999999999999922</v>
      </c>
      <c r="L3" s="14">
        <f>IF(AND((B3 &lt;&gt; ""), (C3 &lt;&gt; ""), (D3 &lt;&gt; ""), (E3 &lt;&gt; "")), IF((((8 - J3) * 60) + 1) &gt; 0, (((8 - J3) * 60) + 1), (((8 - J3) * 60) - 1)), "-")</f>
        <v>-22.000000000000085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(18th)</v>
      </c>
      <c r="B4" s="8">
        <v>0.28819444444444442</v>
      </c>
      <c r="C4" s="8">
        <v>0.54166666666666663</v>
      </c>
      <c r="D4" s="8">
        <v>0.57222222222222219</v>
      </c>
      <c r="E4" s="9">
        <v>0.66666666666666663</v>
      </c>
      <c r="F4" s="30">
        <f t="shared" si="0"/>
        <v>4</v>
      </c>
      <c r="G4" s="28"/>
      <c r="H4" s="10">
        <f t="shared" ref="H4:H5" si="2">SUM(C4 - B4) * 24</f>
        <v>6.083333333333333</v>
      </c>
      <c r="I4" s="11">
        <f t="shared" ref="I4:I6" si="3">SUM(E4 - D4) * 24</f>
        <v>2.2666666666666666</v>
      </c>
      <c r="J4" s="12">
        <f t="shared" si="1"/>
        <v>8.35</v>
      </c>
      <c r="K4" s="13">
        <f t="shared" ref="K4:K6" si="4">IF(AND(C4 &lt;&gt; "", D4 &lt;&gt; ""), (SUM(D4 - C4) * 1440), " - ")</f>
        <v>44</v>
      </c>
      <c r="L4" s="14">
        <f t="shared" ref="L4:L5" si="5">IF(AND((B4 &lt;&gt; ""), (C4 &lt;&gt; ""), (D4 &lt;&gt; ""), (E4 &lt;&gt; "")), IF((((8 - J4) * 60) + 1) &gt; 0, (((8 - J4) * 60) + 1), (((8 - J4) * 60) - 1)), "-")</f>
        <v>-21.999999999999979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(19th)</v>
      </c>
      <c r="B5" s="8">
        <v>0.28749999999999998</v>
      </c>
      <c r="C5" s="8">
        <v>0.5</v>
      </c>
      <c r="D5" s="8">
        <v>0.53055555555555556</v>
      </c>
      <c r="E5" s="9">
        <v>0.66666666666666663</v>
      </c>
      <c r="F5" s="30">
        <f t="shared" si="0"/>
        <v>4</v>
      </c>
      <c r="G5" s="28"/>
      <c r="H5" s="10">
        <f t="shared" si="2"/>
        <v>5.1000000000000005</v>
      </c>
      <c r="I5" s="11">
        <f t="shared" si="3"/>
        <v>3.2666666666666657</v>
      </c>
      <c r="J5" s="12">
        <f t="shared" si="1"/>
        <v>8.3666666666666671</v>
      </c>
      <c r="K5" s="13">
        <f t="shared" si="4"/>
        <v>44</v>
      </c>
      <c r="L5" s="14">
        <f t="shared" si="5"/>
        <v>-23.000000000000028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(20th)</v>
      </c>
      <c r="B6" s="8">
        <v>0.28819444444444442</v>
      </c>
      <c r="C6" s="8">
        <v>0.53819444444444442</v>
      </c>
      <c r="D6" s="8">
        <v>0.56944444444444442</v>
      </c>
      <c r="E6" s="9">
        <v>0.66666666666666663</v>
      </c>
      <c r="F6" s="30">
        <f t="shared" si="0"/>
        <v>4</v>
      </c>
      <c r="G6" s="10"/>
      <c r="H6" s="10">
        <f>SUM(C6 - B6) * 24</f>
        <v>6</v>
      </c>
      <c r="I6" s="11">
        <f t="shared" si="3"/>
        <v>2.333333333333333</v>
      </c>
      <c r="J6" s="12">
        <f t="shared" si="1"/>
        <v>8.3333333333333321</v>
      </c>
      <c r="K6" s="13">
        <f t="shared" si="4"/>
        <v>45</v>
      </c>
      <c r="L6" s="14">
        <f>IF(AND((B6 &lt;&gt; ""), (C6 &lt;&gt; ""), (D6 &lt;&gt; ""), (E6 &lt;&gt; "")), IF((((8 - J6) * 60) + 1) &gt; 0, (((8 - J6) * 60) + 1), (((8 - J6) * 60) - 1)), "-")</f>
        <v>-20.999999999999929</v>
      </c>
    </row>
    <row r="7" spans="1:13" ht="36.75" thickBot="1" x14ac:dyDescent="0.6">
      <c r="B7" s="19"/>
      <c r="I7" s="21" t="s">
        <v>10</v>
      </c>
      <c r="J7" s="22">
        <f>SUM(J2:J6)</f>
        <v>41.75</v>
      </c>
    </row>
    <row r="8" spans="1:13" ht="24" thickBot="1" x14ac:dyDescent="0.4"/>
    <row r="9" spans="1:13" ht="24" thickBot="1" x14ac:dyDescent="0.4">
      <c r="B9" s="19"/>
      <c r="G9" s="23"/>
      <c r="I9" s="24" t="s">
        <v>11</v>
      </c>
      <c r="J9" s="25">
        <f>40-J7</f>
        <v>-1.75</v>
      </c>
      <c r="K9" s="26"/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54" priority="1" operator="greaterThan">
      <formula>3</formula>
    </cfRule>
    <cfRule type="cellIs" dxfId="53" priority="2" operator="lessThan">
      <formula>4</formula>
    </cfRule>
  </conditionalFormatting>
  <conditionalFormatting sqref="J2:J6">
    <cfRule type="cellIs" dxfId="52" priority="6" operator="greaterThan">
      <formula>7.99999999</formula>
    </cfRule>
    <cfRule type="cellIs" dxfId="51" priority="7" operator="lessThan">
      <formula>8</formula>
    </cfRule>
  </conditionalFormatting>
  <conditionalFormatting sqref="J7">
    <cfRule type="cellIs" dxfId="50" priority="8" operator="lessThan">
      <formula>40</formula>
    </cfRule>
    <cfRule type="cellIs" dxfId="49" priority="9" operator="greaterThan">
      <formula>39.999999</formula>
    </cfRule>
  </conditionalFormatting>
  <conditionalFormatting sqref="L2:L6">
    <cfRule type="cellIs" dxfId="48" priority="3" operator="equal">
      <formula>"-"</formula>
    </cfRule>
    <cfRule type="cellIs" dxfId="47" priority="4" operator="greaterThan">
      <formula>0.1</formula>
    </cfRule>
    <cfRule type="cellIs" dxfId="46" priority="5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AF6C-2FD4-4B22-9D2F-E02D7E857044}">
  <sheetPr codeName="Sheet24"/>
  <dimension ref="A1:M25"/>
  <sheetViews>
    <sheetView zoomScale="85" zoomScaleNormal="85" workbookViewId="0"/>
  </sheetViews>
  <sheetFormatPr defaultRowHeight="23.25" x14ac:dyDescent="0.35"/>
  <cols>
    <col min="1" max="1" width="17.42578125" style="18" bestFit="1" customWidth="1"/>
    <col min="2" max="2" width="13.140625" style="20" bestFit="1" customWidth="1"/>
    <col min="3" max="3" width="15" style="20" bestFit="1" customWidth="1"/>
    <col min="4" max="4" width="14.5703125" style="20" bestFit="1" customWidth="1"/>
    <col min="5" max="5" width="12.7109375" style="20" bestFit="1" customWidth="1"/>
    <col min="6" max="6" width="18.42578125" style="20" bestFit="1" customWidth="1"/>
    <col min="7" max="7" width="27.7109375" style="20" bestFit="1" customWidth="1"/>
    <col min="8" max="8" width="13.7109375" style="20" bestFit="1" customWidth="1"/>
    <col min="9" max="9" width="20.140625" style="20" bestFit="1" customWidth="1"/>
    <col min="10" max="10" width="17.7109375" style="20" bestFit="1" customWidth="1"/>
    <col min="11" max="11" width="11" customWidth="1"/>
    <col min="12" max="12" width="20.42578125" bestFit="1" customWidth="1"/>
  </cols>
  <sheetData>
    <row r="1" spans="1:13" ht="56.2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02/09/2026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15</v>
      </c>
      <c r="H1" s="6" t="s">
        <v>12</v>
      </c>
      <c r="I1" s="3" t="s">
        <v>13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(9th)</v>
      </c>
      <c r="B2" s="8">
        <v>0.28819444444444442</v>
      </c>
      <c r="C2" s="8">
        <v>0.49861111111111112</v>
      </c>
      <c r="D2" s="8">
        <v>0.52916666666666667</v>
      </c>
      <c r="E2" s="9">
        <v>0.66666666666666663</v>
      </c>
      <c r="F2" s="30">
        <f>COUNT(B2:E2)</f>
        <v>4</v>
      </c>
      <c r="G2" s="10"/>
      <c r="H2" s="10">
        <f>SUM(C2 - B2) * 24</f>
        <v>5.0500000000000007</v>
      </c>
      <c r="I2" s="11">
        <f>SUM(E2 - D2) * 24</f>
        <v>3.2999999999999989</v>
      </c>
      <c r="J2" s="12">
        <f>H2 + I2 + G2</f>
        <v>8.35</v>
      </c>
      <c r="K2" s="13">
        <f>IF(AND(C2 &lt;&gt; "", D2 &lt;&gt; ""), (SUM(D2 - C2) * 1440), " - ")</f>
        <v>44</v>
      </c>
      <c r="L2" s="14">
        <f>IF(AND((B2 &lt;&gt; ""), (C2 &lt;&gt; ""), (D2 &lt;&gt; ""), (E2 &lt;&gt; "")), IF((((8 - J2) * 60) + 1) &gt; 0, (((8 - J2) * 60) + 1), (((8 - J2) * 60) - 1)), "-")</f>
        <v>-21.999999999999979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(10th)</v>
      </c>
      <c r="B3" s="8">
        <v>0.28819444444444442</v>
      </c>
      <c r="C3" s="8">
        <v>0.49861111111111112</v>
      </c>
      <c r="D3" s="8">
        <v>0.52916666666666667</v>
      </c>
      <c r="E3" s="9">
        <v>0.66666666666666663</v>
      </c>
      <c r="F3" s="30">
        <f t="shared" ref="F3:F6" si="0">COUNT(B3:E3)</f>
        <v>4</v>
      </c>
      <c r="G3" s="11"/>
      <c r="H3" s="10">
        <f>SUM(C3 - B3) * 24</f>
        <v>5.0500000000000007</v>
      </c>
      <c r="I3" s="11">
        <f>SUM(E3 - D3) * 24</f>
        <v>3.2999999999999989</v>
      </c>
      <c r="J3" s="12">
        <f t="shared" ref="J3:J6" si="1">H3 + I3 + G3</f>
        <v>8.35</v>
      </c>
      <c r="K3" s="13">
        <f>IF(AND(C3 &lt;&gt; "", D3 &lt;&gt; ""), (SUM(D3 - C3) * 1440), " - ")</f>
        <v>44</v>
      </c>
      <c r="L3" s="14">
        <f>IF(AND((B3 &lt;&gt; ""), (C3 &lt;&gt; ""), (D3 &lt;&gt; ""), (E3 &lt;&gt; "")), IF((((8 - J3) * 60) + 1) &gt; 0, (((8 - J3) * 60) + 1), (((8 - J3) * 60) - 1)), "-")</f>
        <v>-21.999999999999979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(11th)</v>
      </c>
      <c r="B4" s="8">
        <v>0.28888888888888886</v>
      </c>
      <c r="C4" s="8">
        <v>0.53333333333333333</v>
      </c>
      <c r="D4" s="8">
        <v>0.56388888888888888</v>
      </c>
      <c r="E4" s="9">
        <v>0.66666666666666663</v>
      </c>
      <c r="F4" s="30">
        <f t="shared" si="0"/>
        <v>4</v>
      </c>
      <c r="G4" s="17"/>
      <c r="H4" s="10">
        <f t="shared" ref="H4:H5" si="2">SUM(C4 - B4) * 24</f>
        <v>5.8666666666666671</v>
      </c>
      <c r="I4" s="11">
        <f t="shared" ref="I4:I6" si="3">SUM(E4 - D4) * 24</f>
        <v>2.4666666666666659</v>
      </c>
      <c r="J4" s="12">
        <f t="shared" si="1"/>
        <v>8.3333333333333321</v>
      </c>
      <c r="K4" s="13">
        <f t="shared" ref="K4:K6" si="4">IF(AND(C4 &lt;&gt; "", D4 &lt;&gt; ""), (SUM(D4 - C4) * 1440), " - ")</f>
        <v>44</v>
      </c>
      <c r="L4" s="14">
        <f t="shared" ref="L4:L5" si="5">IF(AND((B4 &lt;&gt; ""), (C4 &lt;&gt; ""), (D4 &lt;&gt; ""), (E4 &lt;&gt; "")), IF((((8 - J4) * 60) + 1) &gt; 0, (((8 - J4) * 60) + 1), (((8 - J4) * 60) - 1)), "-")</f>
        <v>-20.999999999999929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(12th)</v>
      </c>
      <c r="B5" s="8">
        <v>0.28749999999999998</v>
      </c>
      <c r="C5" s="8">
        <v>0.50138888888888888</v>
      </c>
      <c r="D5" s="8">
        <v>0.53125</v>
      </c>
      <c r="E5" s="9">
        <v>0.66666666666666663</v>
      </c>
      <c r="F5" s="30">
        <f t="shared" si="0"/>
        <v>4</v>
      </c>
      <c r="G5" s="17"/>
      <c r="H5" s="10">
        <f t="shared" si="2"/>
        <v>5.1333333333333337</v>
      </c>
      <c r="I5" s="11">
        <f t="shared" si="3"/>
        <v>3.2499999999999991</v>
      </c>
      <c r="J5" s="12">
        <f t="shared" si="1"/>
        <v>8.3833333333333329</v>
      </c>
      <c r="K5" s="13">
        <f t="shared" si="4"/>
        <v>43.000000000000007</v>
      </c>
      <c r="L5" s="14">
        <f t="shared" si="5"/>
        <v>-23.999999999999972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(13th)</v>
      </c>
      <c r="B6" s="8">
        <v>0.28819444444444442</v>
      </c>
      <c r="C6" s="8">
        <v>0.47986111111111113</v>
      </c>
      <c r="D6" s="8">
        <v>0.51041666666666663</v>
      </c>
      <c r="E6" s="9">
        <v>0.66666666666666663</v>
      </c>
      <c r="F6" s="30">
        <f t="shared" si="0"/>
        <v>4</v>
      </c>
      <c r="G6" s="11"/>
      <c r="H6" s="10">
        <f>SUM(C6 - B6) * 24</f>
        <v>4.6000000000000014</v>
      </c>
      <c r="I6" s="11">
        <f t="shared" si="3"/>
        <v>3.75</v>
      </c>
      <c r="J6" s="12">
        <f t="shared" si="1"/>
        <v>8.3500000000000014</v>
      </c>
      <c r="K6" s="13">
        <f t="shared" si="4"/>
        <v>43.999999999999922</v>
      </c>
      <c r="L6" s="14">
        <f>IF(AND((B6 &lt;&gt; ""), (C6 &lt;&gt; ""), (D6 &lt;&gt; ""), (E6 &lt;&gt; "")), IF((((8 - J6) * 60) + 1) &gt; 0, (((8 - J6) * 60) + 1), (((8 - J6) * 60) - 1)), "-")</f>
        <v>-22.000000000000085</v>
      </c>
    </row>
    <row r="7" spans="1:13" ht="36.75" thickBot="1" x14ac:dyDescent="0.6">
      <c r="B7" s="19"/>
      <c r="I7" s="21" t="s">
        <v>10</v>
      </c>
      <c r="J7" s="22">
        <f>SUM(J2:J6)</f>
        <v>41.766666666666666</v>
      </c>
    </row>
    <row r="8" spans="1:13" ht="24" thickBot="1" x14ac:dyDescent="0.4"/>
    <row r="9" spans="1:13" ht="24" thickBot="1" x14ac:dyDescent="0.4">
      <c r="B9" s="19"/>
      <c r="G9" s="23"/>
      <c r="I9" s="24" t="s">
        <v>11</v>
      </c>
      <c r="J9" s="25">
        <f>40-J7</f>
        <v>-1.7666666666666657</v>
      </c>
      <c r="K9" s="26"/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45" priority="1" operator="greaterThan">
      <formula>3</formula>
    </cfRule>
    <cfRule type="cellIs" dxfId="44" priority="2" operator="lessThan">
      <formula>4</formula>
    </cfRule>
  </conditionalFormatting>
  <conditionalFormatting sqref="J2:J6">
    <cfRule type="cellIs" dxfId="43" priority="6" operator="greaterThan">
      <formula>7.99999999</formula>
    </cfRule>
    <cfRule type="cellIs" dxfId="42" priority="7" operator="lessThan">
      <formula>8</formula>
    </cfRule>
  </conditionalFormatting>
  <conditionalFormatting sqref="J7">
    <cfRule type="cellIs" dxfId="41" priority="8" operator="lessThan">
      <formula>40</formula>
    </cfRule>
    <cfRule type="cellIs" dxfId="40" priority="9" operator="greaterThan">
      <formula>39.999999</formula>
    </cfRule>
  </conditionalFormatting>
  <conditionalFormatting sqref="L2:L6">
    <cfRule type="cellIs" dxfId="39" priority="3" operator="equal">
      <formula>"-"</formula>
    </cfRule>
    <cfRule type="cellIs" dxfId="38" priority="4" operator="greaterThan">
      <formula>0.1</formula>
    </cfRule>
    <cfRule type="cellIs" dxfId="37" priority="5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7F8F3-7578-415F-8E55-F8837A247A0F}">
  <sheetPr codeName="Sheet25"/>
  <dimension ref="A1:M25"/>
  <sheetViews>
    <sheetView zoomScale="85" zoomScaleNormal="85" workbookViewId="0"/>
  </sheetViews>
  <sheetFormatPr defaultRowHeight="23.25" x14ac:dyDescent="0.35"/>
  <cols>
    <col min="1" max="1" width="16.42578125" style="18" bestFit="1" customWidth="1"/>
    <col min="2" max="2" width="13.140625" style="20" bestFit="1" customWidth="1"/>
    <col min="3" max="3" width="15" style="20" bestFit="1" customWidth="1"/>
    <col min="4" max="4" width="14.5703125" style="20" bestFit="1" customWidth="1"/>
    <col min="5" max="5" width="15" style="20" bestFit="1" customWidth="1"/>
    <col min="6" max="6" width="18.42578125" style="20" bestFit="1" customWidth="1"/>
    <col min="7" max="7" width="27.7109375" style="20" bestFit="1" customWidth="1"/>
    <col min="8" max="8" width="13.7109375" style="20" bestFit="1" customWidth="1"/>
    <col min="9" max="9" width="20.140625" style="20" bestFit="1" customWidth="1"/>
    <col min="10" max="10" width="17.7109375" style="20" bestFit="1" customWidth="1"/>
    <col min="11" max="11" width="11" customWidth="1"/>
    <col min="12" max="12" width="20.42578125" bestFit="1" customWidth="1"/>
  </cols>
  <sheetData>
    <row r="1" spans="1:13" ht="56.2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02/02/2026</v>
      </c>
      <c r="B1" s="2" t="s">
        <v>0</v>
      </c>
      <c r="C1" s="3" t="s">
        <v>19</v>
      </c>
      <c r="D1" s="3" t="s">
        <v>20</v>
      </c>
      <c r="E1" s="4" t="s">
        <v>3</v>
      </c>
      <c r="F1" s="29" t="s">
        <v>16</v>
      </c>
      <c r="G1" s="6" t="s">
        <v>15</v>
      </c>
      <c r="H1" s="6" t="s">
        <v>12</v>
      </c>
      <c r="I1" s="3" t="s">
        <v>13</v>
      </c>
      <c r="J1" s="3" t="s">
        <v>14</v>
      </c>
      <c r="K1" s="3" t="s">
        <v>17</v>
      </c>
      <c r="L1" s="6" t="s">
        <v>18</v>
      </c>
    </row>
    <row r="2" spans="1:13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(2nd)</v>
      </c>
      <c r="B2" s="8">
        <v>0.28819444444444442</v>
      </c>
      <c r="C2" s="8">
        <v>0.54722222222222228</v>
      </c>
      <c r="D2" s="8">
        <v>0.57638888888888884</v>
      </c>
      <c r="E2" s="9">
        <v>0.66666666666666663</v>
      </c>
      <c r="F2" s="30">
        <f>COUNT(B2:E2)</f>
        <v>4</v>
      </c>
      <c r="G2" s="10"/>
      <c r="H2" s="10">
        <f>SUM(C2 - B2) * 24</f>
        <v>6.2166666666666686</v>
      </c>
      <c r="I2" s="11">
        <f>SUM(E2 - D2) * 24</f>
        <v>2.166666666666667</v>
      </c>
      <c r="J2" s="12">
        <f>H2 + I2 + G2</f>
        <v>8.3833333333333364</v>
      </c>
      <c r="K2" s="13">
        <f>IF(AND(C2 &lt;&gt; "", D2 &lt;&gt; ""), (SUM(D2 - C2) * 1440), " - ")</f>
        <v>41.999999999999851</v>
      </c>
      <c r="L2" s="14">
        <f>IF(AND((B2 &lt;&gt; ""), (C2 &lt;&gt; ""), (D2 &lt;&gt; ""), (E2 &lt;&gt; "")), IF((((8 - J2) * 60) + 1) &gt; 0, (((8 - J2) * 60) + 1), (((8 - J2) * 60) - 1)), "-")</f>
        <v>-24.000000000000185</v>
      </c>
      <c r="M2" s="15"/>
    </row>
    <row r="3" spans="1:13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(3rd)</v>
      </c>
      <c r="B3" s="8">
        <v>0.29236111111111113</v>
      </c>
      <c r="C3" s="8">
        <v>0.55694444444444446</v>
      </c>
      <c r="D3" s="8">
        <v>0.58680555555555558</v>
      </c>
      <c r="E3" s="9">
        <v>0.66666666666666663</v>
      </c>
      <c r="F3" s="30">
        <f t="shared" ref="F3:F5" si="0">COUNT(B3:E3)</f>
        <v>4</v>
      </c>
      <c r="G3" s="11"/>
      <c r="H3" s="10">
        <f>SUM(C3 - B3) * 24</f>
        <v>6.35</v>
      </c>
      <c r="I3" s="11">
        <f>SUM(E3 - D3) * 24</f>
        <v>1.9166666666666652</v>
      </c>
      <c r="J3" s="12">
        <f t="shared" ref="J3:J6" si="1">H3 + I3 + G3</f>
        <v>8.2666666666666657</v>
      </c>
      <c r="K3" s="13">
        <f>IF(AND(C3 &lt;&gt; "", D3 &lt;&gt; ""), (SUM(D3 - C3) * 1440), " - ")</f>
        <v>43.000000000000007</v>
      </c>
      <c r="L3" s="14">
        <f>IF(AND((B3 &lt;&gt; ""), (C3 &lt;&gt; ""), (D3 &lt;&gt; ""), (E3 &lt;&gt; "")), IF((((8 - J3) * 60) + 1) &gt; 0, (((8 - J3) * 60) + 1), (((8 - J3) * 60) - 1)), "-")</f>
        <v>-16.999999999999943</v>
      </c>
    </row>
    <row r="4" spans="1:13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(4th)</v>
      </c>
      <c r="B4" s="8">
        <v>0.28819444444444442</v>
      </c>
      <c r="C4" s="8">
        <v>0.54652777777777772</v>
      </c>
      <c r="D4" s="8">
        <v>0.57777777777777772</v>
      </c>
      <c r="E4" s="9">
        <v>0.66666666666666663</v>
      </c>
      <c r="F4" s="30">
        <f t="shared" si="0"/>
        <v>4</v>
      </c>
      <c r="G4" s="17"/>
      <c r="H4" s="10">
        <f t="shared" ref="H4:H5" si="2">SUM(C4 - B4) * 24</f>
        <v>6.1999999999999993</v>
      </c>
      <c r="I4" s="11">
        <f t="shared" ref="I4:I6" si="3">SUM(E4 - D4) * 24</f>
        <v>2.1333333333333337</v>
      </c>
      <c r="J4" s="12">
        <f t="shared" si="1"/>
        <v>8.3333333333333321</v>
      </c>
      <c r="K4" s="13">
        <f t="shared" ref="K4:K6" si="4">IF(AND(C4 &lt;&gt; "", D4 &lt;&gt; ""), (SUM(D4 - C4) * 1440), " - ")</f>
        <v>45</v>
      </c>
      <c r="L4" s="14">
        <f t="shared" ref="L4:L5" si="5">IF(AND((B4 &lt;&gt; ""), (C4 &lt;&gt; ""), (D4 &lt;&gt; ""), (E4 &lt;&gt; "")), IF((((8 - J4) * 60) + 1) &gt; 0, (((8 - J4) * 60) + 1), (((8 - J4) * 60) - 1)), "-")</f>
        <v>-20.999999999999929</v>
      </c>
    </row>
    <row r="5" spans="1:13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(5th)</v>
      </c>
      <c r="B5" s="8">
        <v>0.28819444444444442</v>
      </c>
      <c r="C5" s="8">
        <v>0.48888888888888887</v>
      </c>
      <c r="D5" s="8">
        <v>0.51875000000000004</v>
      </c>
      <c r="E5" s="9">
        <v>0.66666666666666663</v>
      </c>
      <c r="F5" s="30">
        <f t="shared" si="0"/>
        <v>4</v>
      </c>
      <c r="G5" s="17"/>
      <c r="H5" s="10">
        <f t="shared" si="2"/>
        <v>4.8166666666666664</v>
      </c>
      <c r="I5" s="11">
        <f t="shared" si="3"/>
        <v>3.549999999999998</v>
      </c>
      <c r="J5" s="12">
        <f t="shared" si="1"/>
        <v>8.3666666666666636</v>
      </c>
      <c r="K5" s="13">
        <f t="shared" si="4"/>
        <v>43.000000000000085</v>
      </c>
      <c r="L5" s="14">
        <f t="shared" si="5"/>
        <v>-22.999999999999815</v>
      </c>
    </row>
    <row r="6" spans="1:13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(6th)</v>
      </c>
      <c r="B6" s="8">
        <v>0.29166666666666669</v>
      </c>
      <c r="C6" s="27"/>
      <c r="D6" s="27"/>
      <c r="E6" s="9">
        <v>0.45833333333333331</v>
      </c>
      <c r="F6" s="30">
        <f>COUNT(B6:E6)</f>
        <v>2</v>
      </c>
      <c r="G6" s="11">
        <v>4</v>
      </c>
      <c r="H6" s="10">
        <f>SUM(C6 - B6) * 24</f>
        <v>-7</v>
      </c>
      <c r="I6" s="11">
        <f t="shared" si="3"/>
        <v>11</v>
      </c>
      <c r="J6" s="12">
        <f t="shared" si="1"/>
        <v>8</v>
      </c>
      <c r="K6" s="13" t="str">
        <f t="shared" si="4"/>
        <v xml:space="preserve"> - </v>
      </c>
      <c r="L6" s="14" t="str">
        <f>IF(AND((B6 &lt;&gt; ""), (C6 &lt;&gt; ""), (D6 &lt;&gt; ""), (E6 &lt;&gt; "")), IF((((8 - J6) * 60) + 1) &gt; 0, (((8 - J6) * 60) + 1), (((8 - J6) * 60) - 1)), "-")</f>
        <v>-</v>
      </c>
    </row>
    <row r="7" spans="1:13" ht="36.75" thickBot="1" x14ac:dyDescent="0.6">
      <c r="B7" s="19"/>
      <c r="I7" s="21" t="s">
        <v>10</v>
      </c>
      <c r="J7" s="22">
        <f>SUM(J2:J6)</f>
        <v>41.349999999999994</v>
      </c>
    </row>
    <row r="8" spans="1:13" ht="24" thickBot="1" x14ac:dyDescent="0.4"/>
    <row r="9" spans="1:13" ht="24" thickBot="1" x14ac:dyDescent="0.4">
      <c r="B9" s="19"/>
      <c r="G9" s="23"/>
      <c r="I9" s="24" t="s">
        <v>11</v>
      </c>
      <c r="J9" s="25">
        <f>40-J7</f>
        <v>-1.3499999999999943</v>
      </c>
      <c r="K9" s="26"/>
    </row>
    <row r="15" spans="1:13" x14ac:dyDescent="0.35">
      <c r="K15" s="20"/>
      <c r="L15" s="20"/>
    </row>
    <row r="16" spans="1:13" x14ac:dyDescent="0.35">
      <c r="K16" s="20"/>
      <c r="L16" s="20"/>
    </row>
    <row r="17" spans="11:12" x14ac:dyDescent="0.35">
      <c r="K17" s="20"/>
      <c r="L17" s="20"/>
    </row>
    <row r="18" spans="11:12" x14ac:dyDescent="0.35">
      <c r="K18" s="20"/>
      <c r="L18" s="20"/>
    </row>
    <row r="19" spans="11:12" x14ac:dyDescent="0.35">
      <c r="K19" s="20"/>
      <c r="L19" s="20"/>
    </row>
    <row r="20" spans="11:12" x14ac:dyDescent="0.35">
      <c r="K20" s="20"/>
      <c r="L20" s="20"/>
    </row>
    <row r="21" spans="11:12" x14ac:dyDescent="0.35">
      <c r="K21" s="20"/>
      <c r="L21" s="20"/>
    </row>
    <row r="22" spans="11:12" x14ac:dyDescent="0.35">
      <c r="K22" s="20"/>
      <c r="L22" s="20"/>
    </row>
    <row r="23" spans="11:12" x14ac:dyDescent="0.35">
      <c r="K23" s="20"/>
      <c r="L23" s="20"/>
    </row>
    <row r="24" spans="11:12" x14ac:dyDescent="0.35">
      <c r="K24" s="20"/>
      <c r="L24" s="20"/>
    </row>
    <row r="25" spans="11:12" x14ac:dyDescent="0.35">
      <c r="K25" s="20"/>
      <c r="L25" s="20"/>
    </row>
  </sheetData>
  <conditionalFormatting sqref="F2:F6">
    <cfRule type="cellIs" dxfId="36" priority="1" operator="greaterThan">
      <formula>3</formula>
    </cfRule>
    <cfRule type="cellIs" dxfId="35" priority="2" operator="lessThan">
      <formula>4</formula>
    </cfRule>
  </conditionalFormatting>
  <conditionalFormatting sqref="J2:J6">
    <cfRule type="cellIs" dxfId="34" priority="6" operator="greaterThan">
      <formula>7.99999999</formula>
    </cfRule>
    <cfRule type="cellIs" dxfId="33" priority="7" operator="lessThan">
      <formula>8</formula>
    </cfRule>
  </conditionalFormatting>
  <conditionalFormatting sqref="J7">
    <cfRule type="cellIs" dxfId="32" priority="8" operator="lessThan">
      <formula>40</formula>
    </cfRule>
    <cfRule type="cellIs" dxfId="31" priority="9" operator="greaterThan">
      <formula>39.999999</formula>
    </cfRule>
  </conditionalFormatting>
  <conditionalFormatting sqref="L2:L6">
    <cfRule type="cellIs" dxfId="30" priority="3" operator="equal">
      <formula>"-"</formula>
    </cfRule>
    <cfRule type="cellIs" dxfId="29" priority="4" operator="greaterThan">
      <formula>0.1</formula>
    </cfRule>
    <cfRule type="cellIs" dxfId="28" priority="5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931C-AA06-4404-8DD2-3A1635928042}">
  <sheetPr codeName="Sheet26"/>
  <dimension ref="A1:L25"/>
  <sheetViews>
    <sheetView zoomScale="85" zoomScaleNormal="85" workbookViewId="0"/>
  </sheetViews>
  <sheetFormatPr defaultRowHeight="23.25" x14ac:dyDescent="0.35"/>
  <cols>
    <col min="1" max="1" width="18.42578125" style="18" bestFit="1" customWidth="1"/>
    <col min="2" max="2" width="18" style="20" bestFit="1" customWidth="1"/>
    <col min="3" max="3" width="15.42578125" style="20" customWidth="1"/>
    <col min="4" max="4" width="22.5703125" style="20" bestFit="1" customWidth="1"/>
    <col min="5" max="5" width="20.5703125" style="20" customWidth="1"/>
    <col min="6" max="6" width="24.140625" style="20" bestFit="1" customWidth="1"/>
    <col min="7" max="7" width="23.28515625" style="20" customWidth="1"/>
    <col min="8" max="8" width="26" style="20" bestFit="1" customWidth="1"/>
    <col min="9" max="9" width="18.140625" style="20" bestFit="1" customWidth="1"/>
    <col min="10" max="10" width="11" customWidth="1"/>
    <col min="11" max="11" width="20.42578125" bestFit="1" customWidth="1"/>
  </cols>
  <sheetData>
    <row r="1" spans="1:12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01/26/2026</v>
      </c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5" t="s">
        <v>5</v>
      </c>
      <c r="H1" s="2" t="s">
        <v>6</v>
      </c>
      <c r="I1" s="2" t="s">
        <v>7</v>
      </c>
      <c r="J1" s="3" t="s">
        <v>8</v>
      </c>
      <c r="K1" s="6" t="s">
        <v>9</v>
      </c>
    </row>
    <row r="2" spans="1:12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(26th)</v>
      </c>
      <c r="B2" s="8">
        <v>0.29236111111111113</v>
      </c>
      <c r="C2" s="8">
        <v>0.47847222222222224</v>
      </c>
      <c r="D2" s="8">
        <v>0.5083333333333333</v>
      </c>
      <c r="E2" s="9">
        <v>0.66666666666666663</v>
      </c>
      <c r="F2" s="10"/>
      <c r="G2" s="10">
        <f>SUM(C2 - B2) * 24</f>
        <v>4.4666666666666668</v>
      </c>
      <c r="H2" s="11">
        <f>SUM(E2 - D2) * 24</f>
        <v>3.8</v>
      </c>
      <c r="I2" s="12">
        <f>G2 + H2 + F2</f>
        <v>8.2666666666666657</v>
      </c>
      <c r="J2" s="13">
        <f>IF(AND(C2 &lt;&gt; "", D2 &lt;&gt; ""), (SUM(D2 - C2) * 1440), " - ")</f>
        <v>42.999999999999929</v>
      </c>
      <c r="K2" s="14">
        <f>IF(AND((B2 &lt;&gt; ""), (C2 &lt;&gt; ""), (D2 &lt;&gt; ""), (E2 &lt;&gt; "")), IF((((8 - I2) * 60) + 1) &gt; 0, (((8 - I2) * 60) + 1), (((8 - I2) * 60) - 1)), "-")</f>
        <v>-16.999999999999943</v>
      </c>
      <c r="L2" s="15"/>
    </row>
    <row r="3" spans="1:12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(27th)</v>
      </c>
      <c r="B3" s="8">
        <v>0.28819444444444442</v>
      </c>
      <c r="C3" s="8">
        <v>0.54861111111111116</v>
      </c>
      <c r="D3" s="8">
        <v>0.57847222222222228</v>
      </c>
      <c r="E3" s="9">
        <v>0.66666666666666663</v>
      </c>
      <c r="F3" s="11"/>
      <c r="G3" s="10">
        <f>SUM(C3 - B3) * 24</f>
        <v>6.2500000000000018</v>
      </c>
      <c r="H3" s="11">
        <f>SUM(E3 - D3) * 24</f>
        <v>2.1166666666666645</v>
      </c>
      <c r="I3" s="12">
        <f t="shared" ref="I3:I6" si="0">G3 + H3 + F3</f>
        <v>8.3666666666666671</v>
      </c>
      <c r="J3" s="13">
        <f>IF(AND(C3 &lt;&gt; "", D3 &lt;&gt; ""), (SUM(D3 - C3) * 1440), " - ")</f>
        <v>43.000000000000007</v>
      </c>
      <c r="K3" s="14">
        <f>IF(AND((B3 &lt;&gt; ""), (C3 &lt;&gt; ""), (D3 &lt;&gt; ""), (E3 &lt;&gt; "")), IF((((8 - I3) * 60) + 1) &gt; 0, (((8 - I3) * 60) + 1), (((8 - I3) * 60) - 1)), "-")</f>
        <v>-23.000000000000028</v>
      </c>
    </row>
    <row r="4" spans="1:12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(28th)</v>
      </c>
      <c r="B4" s="8">
        <v>0.28819444444444442</v>
      </c>
      <c r="C4" s="8">
        <v>0.55208333333333337</v>
      </c>
      <c r="D4" s="8">
        <v>0.58263888888888893</v>
      </c>
      <c r="E4" s="9">
        <v>0.66666666666666663</v>
      </c>
      <c r="F4" s="17"/>
      <c r="G4" s="10">
        <f t="shared" ref="G4:G5" si="1">SUM(C4 - B4) * 24</f>
        <v>6.3333333333333348</v>
      </c>
      <c r="H4" s="11">
        <f t="shared" ref="H4:H6" si="2">SUM(E4 - D4) * 24</f>
        <v>2.0166666666666648</v>
      </c>
      <c r="I4" s="12">
        <f t="shared" si="0"/>
        <v>8.35</v>
      </c>
      <c r="J4" s="13">
        <f t="shared" ref="J4:J6" si="3">IF(AND(C4 &lt;&gt; "", D4 &lt;&gt; ""), (SUM(D4 - C4) * 1440), " - ")</f>
        <v>44</v>
      </c>
      <c r="K4" s="14">
        <f t="shared" ref="K4:K5" si="4">IF(AND((B4 &lt;&gt; ""), (C4 &lt;&gt; ""), (D4 &lt;&gt; ""), (E4 &lt;&gt; "")), IF((((8 - I4) * 60) + 1) &gt; 0, (((8 - I4) * 60) + 1), (((8 - I4) * 60) - 1)), "-")</f>
        <v>-21.999999999999979</v>
      </c>
    </row>
    <row r="5" spans="1:12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(29th)</v>
      </c>
      <c r="B5" s="8">
        <v>0.28819444444444442</v>
      </c>
      <c r="C5" s="8">
        <v>0.50416666666666665</v>
      </c>
      <c r="D5" s="8">
        <v>0.53472222222222221</v>
      </c>
      <c r="E5" s="9">
        <v>0.66666666666666663</v>
      </c>
      <c r="F5" s="17"/>
      <c r="G5" s="10">
        <f t="shared" si="1"/>
        <v>5.1833333333333336</v>
      </c>
      <c r="H5" s="11">
        <f t="shared" si="2"/>
        <v>3.1666666666666661</v>
      </c>
      <c r="I5" s="12">
        <f t="shared" si="0"/>
        <v>8.35</v>
      </c>
      <c r="J5" s="13">
        <f t="shared" si="3"/>
        <v>44</v>
      </c>
      <c r="K5" s="14">
        <f t="shared" si="4"/>
        <v>-21.999999999999979</v>
      </c>
    </row>
    <row r="6" spans="1:12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(30th)</v>
      </c>
      <c r="B6" s="8">
        <v>0.28888888888888886</v>
      </c>
      <c r="C6" s="8">
        <v>0.52361111111111114</v>
      </c>
      <c r="D6" s="8">
        <v>0.55347222222222225</v>
      </c>
      <c r="E6" s="9">
        <v>0.66666666666666663</v>
      </c>
      <c r="F6" s="11"/>
      <c r="G6" s="10">
        <f>SUM(C6 - B6) * 24</f>
        <v>5.6333333333333346</v>
      </c>
      <c r="H6" s="11">
        <f t="shared" si="2"/>
        <v>2.716666666666665</v>
      </c>
      <c r="I6" s="12">
        <f t="shared" si="0"/>
        <v>8.35</v>
      </c>
      <c r="J6" s="13">
        <f t="shared" si="3"/>
        <v>43.000000000000007</v>
      </c>
      <c r="K6" s="14">
        <f>IF(AND((B6 &lt;&gt; ""), (C6 &lt;&gt; ""), (D6 &lt;&gt; ""), (E6 &lt;&gt; "")), IF((((8 - I6) * 60) + 1) &gt; 0, (((8 - I6) * 60) + 1), (((8 - I6) * 60) - 1)), "-")</f>
        <v>-21.999999999999979</v>
      </c>
    </row>
    <row r="7" spans="1:12" ht="36.75" thickBot="1" x14ac:dyDescent="0.6">
      <c r="B7" s="19"/>
      <c r="H7" s="21" t="s">
        <v>10</v>
      </c>
      <c r="I7" s="22">
        <f>SUM(I2:I6)</f>
        <v>41.683333333333337</v>
      </c>
    </row>
    <row r="8" spans="1:12" ht="24" thickBot="1" x14ac:dyDescent="0.4"/>
    <row r="9" spans="1:12" ht="24" thickBot="1" x14ac:dyDescent="0.4">
      <c r="B9" s="19"/>
      <c r="F9" s="23"/>
      <c r="H9" s="24" t="s">
        <v>11</v>
      </c>
      <c r="I9" s="25">
        <f>40-I7</f>
        <v>-1.6833333333333371</v>
      </c>
      <c r="J9" s="26"/>
    </row>
    <row r="15" spans="1:12" x14ac:dyDescent="0.35">
      <c r="J15" s="20"/>
      <c r="K15" s="20"/>
    </row>
    <row r="16" spans="1:12" x14ac:dyDescent="0.35">
      <c r="J16" s="20"/>
      <c r="K16" s="20"/>
    </row>
    <row r="17" spans="10:11" x14ac:dyDescent="0.35">
      <c r="J17" s="20"/>
      <c r="K17" s="20"/>
    </row>
    <row r="18" spans="10:11" x14ac:dyDescent="0.35">
      <c r="J18" s="20"/>
      <c r="K18" s="20"/>
    </row>
    <row r="19" spans="10:11" x14ac:dyDescent="0.35">
      <c r="J19" s="20"/>
      <c r="K19" s="20"/>
    </row>
    <row r="20" spans="10:11" x14ac:dyDescent="0.35">
      <c r="J20" s="20"/>
      <c r="K20" s="20"/>
    </row>
    <row r="21" spans="10:11" x14ac:dyDescent="0.35">
      <c r="J21" s="20"/>
      <c r="K21" s="20"/>
    </row>
    <row r="22" spans="10:11" x14ac:dyDescent="0.35">
      <c r="J22" s="20"/>
      <c r="K22" s="20"/>
    </row>
    <row r="23" spans="10:11" x14ac:dyDescent="0.35">
      <c r="J23" s="20"/>
      <c r="K23" s="20"/>
    </row>
    <row r="24" spans="10:11" x14ac:dyDescent="0.35">
      <c r="J24" s="20"/>
      <c r="K24" s="20"/>
    </row>
    <row r="25" spans="10:11" x14ac:dyDescent="0.35">
      <c r="J25" s="20"/>
      <c r="K25" s="20"/>
    </row>
  </sheetData>
  <conditionalFormatting sqref="I2:I6">
    <cfRule type="cellIs" dxfId="27" priority="4" operator="greaterThan">
      <formula>7.99999999</formula>
    </cfRule>
    <cfRule type="cellIs" dxfId="26" priority="5" operator="lessThan">
      <formula>8</formula>
    </cfRule>
  </conditionalFormatting>
  <conditionalFormatting sqref="I7">
    <cfRule type="cellIs" dxfId="25" priority="6" operator="lessThan">
      <formula>40</formula>
    </cfRule>
    <cfRule type="cellIs" dxfId="24" priority="7" operator="greaterThan">
      <formula>39.999999</formula>
    </cfRule>
  </conditionalFormatting>
  <conditionalFormatting sqref="K2:K6">
    <cfRule type="cellIs" dxfId="23" priority="1" operator="equal">
      <formula>"-"</formula>
    </cfRule>
    <cfRule type="cellIs" dxfId="22" priority="2" operator="greaterThan">
      <formula>0.1</formula>
    </cfRule>
    <cfRule type="cellIs" dxfId="21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9BACA-BE7E-4E29-8B4C-6183BB3FCDDD}">
  <sheetPr codeName="Sheet27"/>
  <dimension ref="A1:L25"/>
  <sheetViews>
    <sheetView zoomScale="85" zoomScaleNormal="85" workbookViewId="0"/>
  </sheetViews>
  <sheetFormatPr defaultRowHeight="23.25" x14ac:dyDescent="0.35"/>
  <cols>
    <col min="1" max="1" width="18.42578125" style="18" bestFit="1" customWidth="1"/>
    <col min="2" max="2" width="18" style="20" bestFit="1" customWidth="1"/>
    <col min="3" max="3" width="15.42578125" style="20" customWidth="1"/>
    <col min="4" max="4" width="22.5703125" style="20" bestFit="1" customWidth="1"/>
    <col min="5" max="5" width="20.5703125" style="20" customWidth="1"/>
    <col min="6" max="6" width="24.140625" style="20" bestFit="1" customWidth="1"/>
    <col min="7" max="7" width="23.28515625" style="20" customWidth="1"/>
    <col min="8" max="8" width="26" style="20" bestFit="1" customWidth="1"/>
    <col min="9" max="9" width="18.140625" style="20" bestFit="1" customWidth="1"/>
    <col min="10" max="10" width="11" customWidth="1"/>
    <col min="11" max="11" width="20.42578125" bestFit="1" customWidth="1"/>
  </cols>
  <sheetData>
    <row r="1" spans="1:12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01/19/2026</v>
      </c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5" t="s">
        <v>5</v>
      </c>
      <c r="H1" s="2" t="s">
        <v>6</v>
      </c>
      <c r="I1" s="2" t="s">
        <v>7</v>
      </c>
      <c r="J1" s="3" t="s">
        <v>8</v>
      </c>
      <c r="K1" s="6" t="s">
        <v>9</v>
      </c>
    </row>
    <row r="2" spans="1:12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(19th)</v>
      </c>
      <c r="B2" s="8">
        <v>0.28819444444444442</v>
      </c>
      <c r="C2" s="8">
        <v>0.52083333333333337</v>
      </c>
      <c r="D2" s="8">
        <v>0.55069444444444449</v>
      </c>
      <c r="E2" s="9">
        <v>0.66666666666666663</v>
      </c>
      <c r="F2" s="10"/>
      <c r="G2" s="10">
        <f>SUM(C2 - B2) * 24</f>
        <v>5.5833333333333348</v>
      </c>
      <c r="H2" s="11">
        <f>SUM(E2 - D2) * 24</f>
        <v>2.7833333333333314</v>
      </c>
      <c r="I2" s="12">
        <f>G2 + H2 + F2</f>
        <v>8.3666666666666671</v>
      </c>
      <c r="J2" s="13">
        <f>IF(AND(C2 &lt;&gt; "", D2 &lt;&gt; ""), (SUM(D2 - C2) * 1440), " - ")</f>
        <v>43.000000000000007</v>
      </c>
      <c r="K2" s="14">
        <f>IF(AND((B2 &lt;&gt; ""), (C2 &lt;&gt; ""), (D2 &lt;&gt; ""), (E2 &lt;&gt; "")), IF((((8 - I2) * 60) + 1) &gt; 0, (((8 - I2) * 60) + 1), (((8 - I2) * 60) - 1)), "-")</f>
        <v>-23.000000000000028</v>
      </c>
      <c r="L2" s="15"/>
    </row>
    <row r="3" spans="1:12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(20th)</v>
      </c>
      <c r="B3" s="8">
        <v>0.29444444444444445</v>
      </c>
      <c r="C3" s="8">
        <v>0.48333333333333334</v>
      </c>
      <c r="D3" s="8">
        <v>0.51388888888888884</v>
      </c>
      <c r="E3" s="9">
        <v>0.66666666666666663</v>
      </c>
      <c r="F3" s="11"/>
      <c r="G3" s="10">
        <f>SUM(C3 - B3) * 24</f>
        <v>4.5333333333333332</v>
      </c>
      <c r="H3" s="11">
        <f>SUM(E3 - D3) * 24</f>
        <v>3.666666666666667</v>
      </c>
      <c r="I3" s="12">
        <f t="shared" ref="I3:I6" si="0">G3 + H3 + F3</f>
        <v>8.1999999999999993</v>
      </c>
      <c r="J3" s="13">
        <f>IF(AND(C3 &lt;&gt; "", D3 &lt;&gt; ""), (SUM(D3 - C3) * 1440), " - ")</f>
        <v>43.999999999999922</v>
      </c>
      <c r="K3" s="14">
        <f>IF(AND((B3 &lt;&gt; ""), (C3 &lt;&gt; ""), (D3 &lt;&gt; ""), (E3 &lt;&gt; "")), IF((((8 - I3) * 60) + 1) &gt; 0, (((8 - I3) * 60) + 1), (((8 - I3) * 60) - 1)), "-")</f>
        <v>-12.999999999999957</v>
      </c>
    </row>
    <row r="4" spans="1:12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(21st)</v>
      </c>
      <c r="B4" s="8">
        <v>0.2902777777777778</v>
      </c>
      <c r="C4" s="8">
        <v>0.53819444444444442</v>
      </c>
      <c r="D4" s="8">
        <v>0.56736111111111109</v>
      </c>
      <c r="E4" s="9">
        <v>0.66666666666666663</v>
      </c>
      <c r="F4" s="17"/>
      <c r="G4" s="10">
        <f t="shared" ref="G4:G5" si="1">SUM(C4 - B4) * 24</f>
        <v>5.9499999999999993</v>
      </c>
      <c r="H4" s="11">
        <f t="shared" ref="H4:H6" si="2">SUM(E4 - D4) * 24</f>
        <v>2.3833333333333329</v>
      </c>
      <c r="I4" s="12">
        <f t="shared" si="0"/>
        <v>8.3333333333333321</v>
      </c>
      <c r="J4" s="13">
        <f t="shared" ref="J4:J6" si="3">IF(AND(C4 &lt;&gt; "", D4 &lt;&gt; ""), (SUM(D4 - C4) * 1440), " - ")</f>
        <v>42.000000000000014</v>
      </c>
      <c r="K4" s="14">
        <f t="shared" ref="K4:K5" si="4">IF(AND((B4 &lt;&gt; ""), (C4 &lt;&gt; ""), (D4 &lt;&gt; ""), (E4 &lt;&gt; "")), IF((((8 - I4) * 60) + 1) &gt; 0, (((8 - I4) * 60) + 1), (((8 - I4) * 60) - 1)), "-")</f>
        <v>-20.999999999999929</v>
      </c>
    </row>
    <row r="5" spans="1:12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(22nd)</v>
      </c>
      <c r="B5" s="8">
        <v>0.28819444444444442</v>
      </c>
      <c r="C5" s="8">
        <v>0.56597222222222221</v>
      </c>
      <c r="D5" s="8">
        <v>0.59583333333333333</v>
      </c>
      <c r="E5" s="9">
        <v>0.66666666666666663</v>
      </c>
      <c r="F5" s="17"/>
      <c r="G5" s="10">
        <f t="shared" si="1"/>
        <v>6.666666666666667</v>
      </c>
      <c r="H5" s="11">
        <f t="shared" si="2"/>
        <v>1.6999999999999993</v>
      </c>
      <c r="I5" s="12">
        <f t="shared" si="0"/>
        <v>8.3666666666666671</v>
      </c>
      <c r="J5" s="13">
        <f t="shared" si="3"/>
        <v>43.000000000000007</v>
      </c>
      <c r="K5" s="14">
        <f t="shared" si="4"/>
        <v>-23.000000000000028</v>
      </c>
    </row>
    <row r="6" spans="1:12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(23rd)</v>
      </c>
      <c r="B6" s="8">
        <v>0.29583333333333334</v>
      </c>
      <c r="C6" s="8">
        <v>0.56041666666666667</v>
      </c>
      <c r="D6" s="8">
        <v>0.59027777777777779</v>
      </c>
      <c r="E6" s="9">
        <v>0.66666666666666663</v>
      </c>
      <c r="F6" s="11"/>
      <c r="G6" s="10">
        <f>SUM(C6 - B6) * 24</f>
        <v>6.35</v>
      </c>
      <c r="H6" s="11">
        <f t="shared" si="2"/>
        <v>1.8333333333333321</v>
      </c>
      <c r="I6" s="12">
        <f t="shared" si="0"/>
        <v>8.1833333333333318</v>
      </c>
      <c r="J6" s="13">
        <f t="shared" si="3"/>
        <v>43.000000000000007</v>
      </c>
      <c r="K6" s="14">
        <f>IF(AND((B6 &lt;&gt; ""), (C6 &lt;&gt; ""), (D6 &lt;&gt; ""), (E6 &lt;&gt; "")), IF((((8 - I6) * 60) + 1) &gt; 0, (((8 - I6) * 60) + 1), (((8 - I6) * 60) - 1)), "-")</f>
        <v>-11.999999999999908</v>
      </c>
    </row>
    <row r="7" spans="1:12" ht="36.75" thickBot="1" x14ac:dyDescent="0.6">
      <c r="B7" s="19"/>
      <c r="H7" s="21" t="s">
        <v>10</v>
      </c>
      <c r="I7" s="22">
        <f>SUM(I2:I6)</f>
        <v>41.449999999999996</v>
      </c>
    </row>
    <row r="8" spans="1:12" ht="24" thickBot="1" x14ac:dyDescent="0.4"/>
    <row r="9" spans="1:12" ht="24" thickBot="1" x14ac:dyDescent="0.4">
      <c r="B9" s="19"/>
      <c r="F9" s="23"/>
      <c r="H9" s="24" t="s">
        <v>11</v>
      </c>
      <c r="I9" s="25">
        <f>40-I7</f>
        <v>-1.4499999999999957</v>
      </c>
      <c r="J9" s="26"/>
    </row>
    <row r="15" spans="1:12" x14ac:dyDescent="0.35">
      <c r="J15" s="20"/>
      <c r="K15" s="20"/>
    </row>
    <row r="16" spans="1:12" x14ac:dyDescent="0.35">
      <c r="J16" s="20"/>
      <c r="K16" s="20"/>
    </row>
    <row r="17" spans="10:11" x14ac:dyDescent="0.35">
      <c r="J17" s="20"/>
      <c r="K17" s="20"/>
    </row>
    <row r="18" spans="10:11" x14ac:dyDescent="0.35">
      <c r="J18" s="20"/>
      <c r="K18" s="20"/>
    </row>
    <row r="19" spans="10:11" x14ac:dyDescent="0.35">
      <c r="J19" s="20"/>
      <c r="K19" s="20"/>
    </row>
    <row r="20" spans="10:11" x14ac:dyDescent="0.35">
      <c r="J20" s="20"/>
      <c r="K20" s="20"/>
    </row>
    <row r="21" spans="10:11" x14ac:dyDescent="0.35">
      <c r="J21" s="20"/>
      <c r="K21" s="20"/>
    </row>
    <row r="22" spans="10:11" x14ac:dyDescent="0.35">
      <c r="J22" s="20"/>
      <c r="K22" s="20"/>
    </row>
    <row r="23" spans="10:11" x14ac:dyDescent="0.35">
      <c r="J23" s="20"/>
      <c r="K23" s="20"/>
    </row>
    <row r="24" spans="10:11" x14ac:dyDescent="0.35">
      <c r="J24" s="20"/>
      <c r="K24" s="20"/>
    </row>
    <row r="25" spans="10:11" x14ac:dyDescent="0.35">
      <c r="J25" s="20"/>
      <c r="K25" s="20"/>
    </row>
  </sheetData>
  <conditionalFormatting sqref="I2:I6">
    <cfRule type="cellIs" dxfId="20" priority="4" operator="greaterThan">
      <formula>7.99999999</formula>
    </cfRule>
    <cfRule type="cellIs" dxfId="19" priority="5" operator="lessThan">
      <formula>8</formula>
    </cfRule>
  </conditionalFormatting>
  <conditionalFormatting sqref="I7">
    <cfRule type="cellIs" dxfId="18" priority="6" operator="lessThan">
      <formula>40</formula>
    </cfRule>
    <cfRule type="cellIs" dxfId="17" priority="7" operator="greaterThan">
      <formula>39.999999</formula>
    </cfRule>
  </conditionalFormatting>
  <conditionalFormatting sqref="K2:K6">
    <cfRule type="cellIs" dxfId="16" priority="1" operator="equal">
      <formula>"-"</formula>
    </cfRule>
    <cfRule type="cellIs" dxfId="15" priority="2" operator="greaterThan">
      <formula>0.1</formula>
    </cfRule>
    <cfRule type="cellIs" dxfId="14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717E-C369-4345-87A7-5F55301B0739}">
  <sheetPr codeName="Sheet28"/>
  <dimension ref="A1:L25"/>
  <sheetViews>
    <sheetView zoomScale="85" zoomScaleNormal="85" workbookViewId="0"/>
  </sheetViews>
  <sheetFormatPr defaultRowHeight="23.25" x14ac:dyDescent="0.35"/>
  <cols>
    <col min="1" max="1" width="18.42578125" style="18" bestFit="1" customWidth="1"/>
    <col min="2" max="2" width="18" style="20" bestFit="1" customWidth="1"/>
    <col min="3" max="3" width="15.42578125" style="20" customWidth="1"/>
    <col min="4" max="4" width="22.5703125" style="20" bestFit="1" customWidth="1"/>
    <col min="5" max="5" width="20.5703125" style="20" customWidth="1"/>
    <col min="6" max="6" width="24.140625" style="20" bestFit="1" customWidth="1"/>
    <col min="7" max="7" width="23.28515625" style="20" customWidth="1"/>
    <col min="8" max="8" width="26" style="20" bestFit="1" customWidth="1"/>
    <col min="9" max="9" width="18.140625" style="20" bestFit="1" customWidth="1"/>
    <col min="10" max="10" width="11" customWidth="1"/>
    <col min="11" max="11" width="20.42578125" bestFit="1" customWidth="1"/>
  </cols>
  <sheetData>
    <row r="1" spans="1:12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01/12/2026</v>
      </c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5" t="s">
        <v>5</v>
      </c>
      <c r="H1" s="2" t="s">
        <v>6</v>
      </c>
      <c r="I1" s="2" t="s">
        <v>7</v>
      </c>
      <c r="J1" s="3" t="s">
        <v>8</v>
      </c>
      <c r="K1" s="6" t="s">
        <v>9</v>
      </c>
    </row>
    <row r="2" spans="1:12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(12th)</v>
      </c>
      <c r="B2" s="8">
        <v>0.28819444444444442</v>
      </c>
      <c r="C2" s="8">
        <v>0.49236111111111114</v>
      </c>
      <c r="D2" s="8">
        <v>0.5229166666666667</v>
      </c>
      <c r="E2" s="9">
        <v>0.66666666666666663</v>
      </c>
      <c r="F2" s="10"/>
      <c r="G2" s="10">
        <f>SUM(C2 - B2) * 24</f>
        <v>4.9000000000000012</v>
      </c>
      <c r="H2" s="11">
        <f>SUM(E2 - D2) * 24</f>
        <v>3.4499999999999984</v>
      </c>
      <c r="I2" s="12">
        <f>G2 + H2 + F2</f>
        <v>8.35</v>
      </c>
      <c r="J2" s="13">
        <f>IF(AND(C2 &lt;&gt; "", D2 &lt;&gt; ""), (SUM(D2 - C2) * 1440), " - ")</f>
        <v>44</v>
      </c>
      <c r="K2" s="14">
        <f>IF(AND((B2 &lt;&gt; ""), (C2 &lt;&gt; ""), (D2 &lt;&gt; ""), (E2 &lt;&gt; "")), IF((((8 - I2) * 60) + 1) &gt; 0, (((8 - I2) * 60) + 1), (((8 - I2) * 60) - 1)), "-")</f>
        <v>-21.999999999999979</v>
      </c>
      <c r="L2" s="15"/>
    </row>
    <row r="3" spans="1:12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(13th)</v>
      </c>
      <c r="B3" s="8">
        <v>0.28819444444444442</v>
      </c>
      <c r="C3" s="8">
        <v>0.55347222222222225</v>
      </c>
      <c r="D3" s="8">
        <v>0.58402777777777781</v>
      </c>
      <c r="E3" s="9">
        <v>0.66666666666666663</v>
      </c>
      <c r="F3" s="11"/>
      <c r="G3" s="10">
        <f>SUM(C3 - B3) * 24</f>
        <v>6.366666666666668</v>
      </c>
      <c r="H3" s="11">
        <f>SUM(E3 - D3) * 24</f>
        <v>1.9833333333333316</v>
      </c>
      <c r="I3" s="12">
        <f t="shared" ref="I3:I6" si="0">G3 + H3 + F3</f>
        <v>8.35</v>
      </c>
      <c r="J3" s="13">
        <f>IF(AND(C3 &lt;&gt; "", D3 &lt;&gt; ""), (SUM(D3 - C3) * 1440), " - ")</f>
        <v>44</v>
      </c>
      <c r="K3" s="14">
        <f>IF(AND((B3 &lt;&gt; ""), (C3 &lt;&gt; ""), (D3 &lt;&gt; ""), (E3 &lt;&gt; "")), IF((((8 - I3) * 60) + 1) &gt; 0, (((8 - I3) * 60) + 1), (((8 - I3) * 60) - 1)), "-")</f>
        <v>-21.999999999999979</v>
      </c>
    </row>
    <row r="4" spans="1:12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(14th)</v>
      </c>
      <c r="B4" s="8">
        <v>0.28819444444444442</v>
      </c>
      <c r="C4" s="8">
        <v>0.53472222222222221</v>
      </c>
      <c r="D4" s="8">
        <v>0.56527777777777777</v>
      </c>
      <c r="E4" s="9">
        <v>0.66666666666666663</v>
      </c>
      <c r="F4" s="17"/>
      <c r="G4" s="10">
        <f t="shared" ref="G4:G5" si="1">SUM(C4 - B4) * 24</f>
        <v>5.916666666666667</v>
      </c>
      <c r="H4" s="11">
        <f t="shared" ref="H4:H6" si="2">SUM(E4 - D4) * 24</f>
        <v>2.4333333333333327</v>
      </c>
      <c r="I4" s="12">
        <f t="shared" si="0"/>
        <v>8.35</v>
      </c>
      <c r="J4" s="13">
        <f t="shared" ref="J4:J6" si="3">IF(AND(C4 &lt;&gt; "", D4 &lt;&gt; ""), (SUM(D4 - C4) * 1440), " - ")</f>
        <v>44</v>
      </c>
      <c r="K4" s="14">
        <f t="shared" ref="K4:K5" si="4">IF(AND((B4 &lt;&gt; ""), (C4 &lt;&gt; ""), (D4 &lt;&gt; ""), (E4 &lt;&gt; "")), IF((((8 - I4) * 60) + 1) &gt; 0, (((8 - I4) * 60) + 1), (((8 - I4) * 60) - 1)), "-")</f>
        <v>-21.999999999999979</v>
      </c>
    </row>
    <row r="5" spans="1:12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(15th)</v>
      </c>
      <c r="B5" s="8">
        <v>0.29444444444444445</v>
      </c>
      <c r="C5" s="8">
        <v>0.50555555555555554</v>
      </c>
      <c r="D5" s="8">
        <v>0.53611111111111109</v>
      </c>
      <c r="E5" s="9">
        <v>0.66805555555555551</v>
      </c>
      <c r="F5" s="17"/>
      <c r="G5" s="10">
        <f t="shared" si="1"/>
        <v>5.0666666666666664</v>
      </c>
      <c r="H5" s="11">
        <f t="shared" si="2"/>
        <v>3.1666666666666661</v>
      </c>
      <c r="I5" s="12">
        <f t="shared" si="0"/>
        <v>8.2333333333333325</v>
      </c>
      <c r="J5" s="13">
        <f t="shared" si="3"/>
        <v>44</v>
      </c>
      <c r="K5" s="14">
        <f t="shared" si="4"/>
        <v>-14.99999999999995</v>
      </c>
    </row>
    <row r="6" spans="1:12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(16th)</v>
      </c>
      <c r="B6" s="8">
        <v>0.28819444444444442</v>
      </c>
      <c r="C6" s="8">
        <v>0.51527777777777772</v>
      </c>
      <c r="D6" s="8">
        <v>0.54513888888888884</v>
      </c>
      <c r="E6" s="9">
        <v>0.66666666666666663</v>
      </c>
      <c r="F6" s="11"/>
      <c r="G6" s="10">
        <f>SUM(C6 - B6) * 24</f>
        <v>5.4499999999999993</v>
      </c>
      <c r="H6" s="11">
        <f t="shared" si="2"/>
        <v>2.916666666666667</v>
      </c>
      <c r="I6" s="12">
        <f t="shared" si="0"/>
        <v>8.3666666666666671</v>
      </c>
      <c r="J6" s="13">
        <f t="shared" si="3"/>
        <v>43.000000000000007</v>
      </c>
      <c r="K6" s="14">
        <f>IF(AND((B6 &lt;&gt; ""), (C6 &lt;&gt; ""), (D6 &lt;&gt; ""), (E6 &lt;&gt; "")), IF((((8 - I6) * 60) + 1) &gt; 0, (((8 - I6) * 60) + 1), (((8 - I6) * 60) - 1)), "-")</f>
        <v>-23.000000000000028</v>
      </c>
    </row>
    <row r="7" spans="1:12" ht="36.75" thickBot="1" x14ac:dyDescent="0.6">
      <c r="B7" s="19"/>
      <c r="H7" s="21" t="s">
        <v>10</v>
      </c>
      <c r="I7" s="22">
        <f>SUM(I2:I6)</f>
        <v>41.65</v>
      </c>
    </row>
    <row r="8" spans="1:12" ht="24" thickBot="1" x14ac:dyDescent="0.4"/>
    <row r="9" spans="1:12" ht="24" thickBot="1" x14ac:dyDescent="0.4">
      <c r="B9" s="19"/>
      <c r="F9" s="23"/>
      <c r="H9" s="24" t="s">
        <v>11</v>
      </c>
      <c r="I9" s="25">
        <f>40-I7</f>
        <v>-1.6499999999999986</v>
      </c>
      <c r="J9" s="26"/>
    </row>
    <row r="15" spans="1:12" x14ac:dyDescent="0.35">
      <c r="J15" s="20"/>
      <c r="K15" s="20"/>
    </row>
    <row r="16" spans="1:12" x14ac:dyDescent="0.35">
      <c r="J16" s="20"/>
      <c r="K16" s="20"/>
    </row>
    <row r="17" spans="10:11" x14ac:dyDescent="0.35">
      <c r="J17" s="20"/>
      <c r="K17" s="20"/>
    </row>
    <row r="18" spans="10:11" x14ac:dyDescent="0.35">
      <c r="J18" s="20"/>
      <c r="K18" s="20"/>
    </row>
    <row r="19" spans="10:11" x14ac:dyDescent="0.35">
      <c r="J19" s="20"/>
      <c r="K19" s="20"/>
    </row>
    <row r="20" spans="10:11" x14ac:dyDescent="0.35">
      <c r="J20" s="20"/>
      <c r="K20" s="20"/>
    </row>
    <row r="21" spans="10:11" x14ac:dyDescent="0.35">
      <c r="J21" s="20"/>
      <c r="K21" s="20"/>
    </row>
    <row r="22" spans="10:11" x14ac:dyDescent="0.35">
      <c r="J22" s="20"/>
      <c r="K22" s="20"/>
    </row>
    <row r="23" spans="10:11" x14ac:dyDescent="0.35">
      <c r="J23" s="20"/>
      <c r="K23" s="20"/>
    </row>
    <row r="24" spans="10:11" x14ac:dyDescent="0.35">
      <c r="J24" s="20"/>
      <c r="K24" s="20"/>
    </row>
    <row r="25" spans="10:11" x14ac:dyDescent="0.35">
      <c r="J25" s="20"/>
      <c r="K25" s="20"/>
    </row>
  </sheetData>
  <conditionalFormatting sqref="I2:I6">
    <cfRule type="cellIs" dxfId="13" priority="4" operator="greaterThan">
      <formula>7.99999999</formula>
    </cfRule>
    <cfRule type="cellIs" dxfId="12" priority="5" operator="lessThan">
      <formula>8</formula>
    </cfRule>
  </conditionalFormatting>
  <conditionalFormatting sqref="I7">
    <cfRule type="cellIs" dxfId="11" priority="6" operator="lessThan">
      <formula>40</formula>
    </cfRule>
    <cfRule type="cellIs" dxfId="10" priority="7" operator="greaterThan">
      <formula>39.999999</formula>
    </cfRule>
  </conditionalFormatting>
  <conditionalFormatting sqref="K2:K6">
    <cfRule type="cellIs" dxfId="9" priority="1" operator="equal">
      <formula>"-"</formula>
    </cfRule>
    <cfRule type="cellIs" dxfId="8" priority="2" operator="greaterThan">
      <formula>0.1</formula>
    </cfRule>
    <cfRule type="cellIs" dxfId="7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7F8E1-29A6-4379-865F-F9EC8A6B72ED}">
  <sheetPr codeName="Sheet29"/>
  <dimension ref="A1:L25"/>
  <sheetViews>
    <sheetView zoomScale="85" zoomScaleNormal="85" workbookViewId="0"/>
  </sheetViews>
  <sheetFormatPr defaultRowHeight="23.25" x14ac:dyDescent="0.35"/>
  <cols>
    <col min="1" max="1" width="18.42578125" style="18" bestFit="1" customWidth="1"/>
    <col min="2" max="2" width="18" style="20" bestFit="1" customWidth="1"/>
    <col min="3" max="3" width="15.42578125" style="20" customWidth="1"/>
    <col min="4" max="4" width="22.5703125" style="20" bestFit="1" customWidth="1"/>
    <col min="5" max="5" width="20.5703125" style="20" customWidth="1"/>
    <col min="6" max="6" width="24.140625" style="20" bestFit="1" customWidth="1"/>
    <col min="7" max="7" width="23.28515625" style="20" customWidth="1"/>
    <col min="8" max="8" width="26" style="20" bestFit="1" customWidth="1"/>
    <col min="9" max="9" width="18.140625" style="20" bestFit="1" customWidth="1"/>
    <col min="10" max="10" width="11" customWidth="1"/>
    <col min="11" max="11" width="20.42578125" bestFit="1" customWidth="1"/>
  </cols>
  <sheetData>
    <row r="1" spans="1:12" ht="69.75" x14ac:dyDescent="0.35">
      <c r="A1" s="1" t="str" cm="1">
        <f t="array" aca="1" ref="A1" ca="1">_xlfn.CONCAT(MID(_xlfn.TEXTAFTER(CELL("filename", A1), "]"),5,2), "/", RIGHT(_xlfn.TEXTAFTER(CELL("filename", A1), "]"), 2), "/", LEFT(_xlfn.TEXTAFTER(CELL("filename", A1), "]"), 4))</f>
        <v>01/05/2026</v>
      </c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5" t="s">
        <v>5</v>
      </c>
      <c r="H1" s="2" t="s">
        <v>6</v>
      </c>
      <c r="I1" s="2" t="s">
        <v>7</v>
      </c>
      <c r="J1" s="3" t="s">
        <v>8</v>
      </c>
      <c r="K1" s="6" t="s">
        <v>9</v>
      </c>
    </row>
    <row r="2" spans="1:12" x14ac:dyDescent="0.35">
      <c r="A2" s="7" t="str">
        <f ca="1">_xlfn.CONCAT(TEXT(A1, "ddd"), " (", DAY(A1), IF(OR(AND(DAY(A1) &gt; 23, DAY(A1) &lt; 31), AND(DAY(A1) &gt; 3, DAY(A1) &lt; 21)), "th", LOOKUP(DAY(A1), {1,"st";2,"nd";3,"rd";21,"st";22,"nd";23,"rd";31,"st"})), ")")</f>
        <v>Mon (5th)</v>
      </c>
      <c r="B2" s="8">
        <v>0.28749999999999998</v>
      </c>
      <c r="C2" s="8">
        <v>0.49375000000000002</v>
      </c>
      <c r="D2" s="8">
        <v>0.52361111111111114</v>
      </c>
      <c r="E2" s="9">
        <v>0.66666666666666663</v>
      </c>
      <c r="F2" s="10"/>
      <c r="G2" s="10">
        <f>SUM(C2 - B2) * 24</f>
        <v>4.9500000000000011</v>
      </c>
      <c r="H2" s="11">
        <f>SUM(E2 - D2) * 24</f>
        <v>3.4333333333333318</v>
      </c>
      <c r="I2" s="12">
        <f>G2 + H2 + F2</f>
        <v>8.3833333333333329</v>
      </c>
      <c r="J2" s="13">
        <f>IF(AND(C2 &lt;&gt; "", D2 &lt;&gt; ""), (SUM(D2 - C2) * 1440), " - ")</f>
        <v>43.000000000000007</v>
      </c>
      <c r="K2" s="14">
        <f>IF(AND((B2 &lt;&gt; ""), (C2 &lt;&gt; ""), (D2 &lt;&gt; ""), (E2 &lt;&gt; "")), IF((((8 - I2) * 60) + 1) &gt; 0, (((8 - I2) * 60) + 1), (((8 - I2) * 60) - 1)), "-")</f>
        <v>-23.999999999999972</v>
      </c>
      <c r="L2" s="15"/>
    </row>
    <row r="3" spans="1:12" x14ac:dyDescent="0.35">
      <c r="A3" s="16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(6th)</v>
      </c>
      <c r="B3" s="8">
        <v>0.28819444444444442</v>
      </c>
      <c r="C3" s="8">
        <v>0.54166666666666663</v>
      </c>
      <c r="D3" s="8">
        <v>0.57152777777777775</v>
      </c>
      <c r="E3" s="9">
        <v>0.66666666666666663</v>
      </c>
      <c r="F3" s="11"/>
      <c r="G3" s="10">
        <f>SUM(C3 - B3) * 24</f>
        <v>6.083333333333333</v>
      </c>
      <c r="H3" s="11">
        <f>SUM(E3 - D3) * 24</f>
        <v>2.2833333333333332</v>
      </c>
      <c r="I3" s="12">
        <f t="shared" ref="I3:I6" si="0">G3 + H3 + F3</f>
        <v>8.3666666666666671</v>
      </c>
      <c r="J3" s="13">
        <f>IF(AND(C3 &lt;&gt; "", D3 &lt;&gt; ""), (SUM(D3 - C3) * 1440), " - ")</f>
        <v>43.000000000000007</v>
      </c>
      <c r="K3" s="14">
        <f>IF(AND((B3 &lt;&gt; ""), (C3 &lt;&gt; ""), (D3 &lt;&gt; ""), (E3 &lt;&gt; "")), IF((((8 - I3) * 60) + 1) &gt; 0, (((8 - I3) * 60) + 1), (((8 - I3) * 60) - 1)), "-")</f>
        <v>-23.000000000000028</v>
      </c>
    </row>
    <row r="4" spans="1:12" x14ac:dyDescent="0.35">
      <c r="A4" s="16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(7th)</v>
      </c>
      <c r="B4" s="8">
        <v>0.28819444444444442</v>
      </c>
      <c r="C4" s="8">
        <v>0.49166666666666664</v>
      </c>
      <c r="D4" s="8">
        <v>0.52222222222222225</v>
      </c>
      <c r="E4" s="9">
        <v>0.66666666666666663</v>
      </c>
      <c r="F4" s="17"/>
      <c r="G4" s="10">
        <f t="shared" ref="G4:G5" si="1">SUM(C4 - B4) * 24</f>
        <v>4.8833333333333329</v>
      </c>
      <c r="H4" s="11">
        <f t="shared" ref="H4:H6" si="2">SUM(E4 - D4) * 24</f>
        <v>3.466666666666665</v>
      </c>
      <c r="I4" s="12">
        <f t="shared" si="0"/>
        <v>8.3499999999999979</v>
      </c>
      <c r="J4" s="13">
        <f t="shared" ref="J4:J6" si="3">IF(AND(C4 &lt;&gt; "", D4 &lt;&gt; ""), (SUM(D4 - C4) * 1440), " - ")</f>
        <v>44.000000000000085</v>
      </c>
      <c r="K4" s="14">
        <f t="shared" ref="K4:K5" si="4">IF(AND((B4 &lt;&gt; ""), (C4 &lt;&gt; ""), (D4 &lt;&gt; ""), (E4 &lt;&gt; "")), IF((((8 - I4) * 60) + 1) &gt; 0, (((8 - I4) * 60) + 1), (((8 - I4) * 60) - 1)), "-")</f>
        <v>-21.999999999999872</v>
      </c>
    </row>
    <row r="5" spans="1:12" x14ac:dyDescent="0.35">
      <c r="A5" s="16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(8th)</v>
      </c>
      <c r="B5" s="8">
        <v>0.28819444444444442</v>
      </c>
      <c r="C5" s="8">
        <v>0.49444444444444446</v>
      </c>
      <c r="D5" s="8">
        <v>0.52500000000000002</v>
      </c>
      <c r="E5" s="9">
        <v>0.66666666666666663</v>
      </c>
      <c r="F5" s="17"/>
      <c r="G5" s="10">
        <f t="shared" si="1"/>
        <v>4.9500000000000011</v>
      </c>
      <c r="H5" s="11">
        <f t="shared" si="2"/>
        <v>3.3999999999999986</v>
      </c>
      <c r="I5" s="12">
        <f t="shared" si="0"/>
        <v>8.35</v>
      </c>
      <c r="J5" s="13">
        <f t="shared" si="3"/>
        <v>44</v>
      </c>
      <c r="K5" s="14">
        <f t="shared" si="4"/>
        <v>-21.999999999999979</v>
      </c>
    </row>
    <row r="6" spans="1:12" ht="24" thickBot="1" x14ac:dyDescent="0.4">
      <c r="A6" s="16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(9th)</v>
      </c>
      <c r="B6" s="8">
        <v>0.28819444444444442</v>
      </c>
      <c r="C6" s="8">
        <v>0.52708333333333335</v>
      </c>
      <c r="D6" s="8">
        <v>0.55763888888888891</v>
      </c>
      <c r="E6" s="9">
        <v>0.66666666666666663</v>
      </c>
      <c r="F6" s="11"/>
      <c r="G6" s="10">
        <f>SUM(C6 - B6) * 24</f>
        <v>5.7333333333333343</v>
      </c>
      <c r="H6" s="11">
        <f t="shared" si="2"/>
        <v>2.6166666666666654</v>
      </c>
      <c r="I6" s="12">
        <f t="shared" si="0"/>
        <v>8.35</v>
      </c>
      <c r="J6" s="13">
        <f t="shared" si="3"/>
        <v>44</v>
      </c>
      <c r="K6" s="14">
        <f>IF(AND((B6 &lt;&gt; ""), (C6 &lt;&gt; ""), (D6 &lt;&gt; ""), (E6 &lt;&gt; "")), IF((((8 - I6) * 60) + 1) &gt; 0, (((8 - I6) * 60) + 1), (((8 - I6) * 60) - 1)), "-")</f>
        <v>-21.999999999999979</v>
      </c>
    </row>
    <row r="7" spans="1:12" ht="36.75" thickBot="1" x14ac:dyDescent="0.6">
      <c r="B7" s="19"/>
      <c r="H7" s="21" t="s">
        <v>10</v>
      </c>
      <c r="I7" s="22">
        <f>SUM(I2:I6)</f>
        <v>41.8</v>
      </c>
    </row>
    <row r="8" spans="1:12" ht="24" thickBot="1" x14ac:dyDescent="0.4"/>
    <row r="9" spans="1:12" ht="24" thickBot="1" x14ac:dyDescent="0.4">
      <c r="B9" s="19"/>
      <c r="F9" s="23"/>
      <c r="H9" s="24" t="s">
        <v>11</v>
      </c>
      <c r="I9" s="25">
        <f>40-I7</f>
        <v>-1.7999999999999972</v>
      </c>
      <c r="J9" s="26"/>
    </row>
    <row r="15" spans="1:12" x14ac:dyDescent="0.35">
      <c r="J15" s="20"/>
      <c r="K15" s="20"/>
    </row>
    <row r="16" spans="1:12" x14ac:dyDescent="0.35">
      <c r="J16" s="20"/>
      <c r="K16" s="20"/>
    </row>
    <row r="17" spans="10:11" x14ac:dyDescent="0.35">
      <c r="J17" s="20"/>
      <c r="K17" s="20"/>
    </row>
    <row r="18" spans="10:11" x14ac:dyDescent="0.35">
      <c r="J18" s="20"/>
      <c r="K18" s="20"/>
    </row>
    <row r="19" spans="10:11" x14ac:dyDescent="0.35">
      <c r="J19" s="20"/>
      <c r="K19" s="20"/>
    </row>
    <row r="20" spans="10:11" x14ac:dyDescent="0.35">
      <c r="J20" s="20"/>
      <c r="K20" s="20"/>
    </row>
    <row r="21" spans="10:11" x14ac:dyDescent="0.35">
      <c r="J21" s="20"/>
      <c r="K21" s="20"/>
    </row>
    <row r="22" spans="10:11" x14ac:dyDescent="0.35">
      <c r="J22" s="20"/>
      <c r="K22" s="20"/>
    </row>
    <row r="23" spans="10:11" x14ac:dyDescent="0.35">
      <c r="J23" s="20"/>
      <c r="K23" s="20"/>
    </row>
    <row r="24" spans="10:11" x14ac:dyDescent="0.35">
      <c r="J24" s="20"/>
      <c r="K24" s="20"/>
    </row>
    <row r="25" spans="10:11" x14ac:dyDescent="0.35">
      <c r="J25" s="20"/>
      <c r="K25" s="20"/>
    </row>
  </sheetData>
  <conditionalFormatting sqref="I2:I6">
    <cfRule type="cellIs" dxfId="6" priority="4" operator="greaterThan">
      <formula>7.99999999</formula>
    </cfRule>
    <cfRule type="cellIs" dxfId="5" priority="5" operator="lessThan">
      <formula>8</formula>
    </cfRule>
  </conditionalFormatting>
  <conditionalFormatting sqref="I7">
    <cfRule type="cellIs" dxfId="4" priority="6" operator="lessThan">
      <formula>40</formula>
    </cfRule>
    <cfRule type="cellIs" dxfId="3" priority="7" operator="greaterThan">
      <formula>39.999999</formula>
    </cfRule>
  </conditionalFormatting>
  <conditionalFormatting sqref="K2:K6">
    <cfRule type="cellIs" dxfId="2" priority="1" operator="equal">
      <formula>"-"</formula>
    </cfRule>
    <cfRule type="cellIs" dxfId="1" priority="2" operator="greaterThan">
      <formula>0.1</formula>
    </cfRule>
    <cfRule type="cellIs" dxfId="0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20261012</vt:lpstr>
      <vt:lpstr>20261005</vt:lpstr>
      <vt:lpstr>20260928</vt:lpstr>
      <vt:lpstr>20260921</vt:lpstr>
      <vt:lpstr>20260914</vt:lpstr>
      <vt:lpstr>20260907</vt:lpstr>
      <vt:lpstr>20260831</vt:lpstr>
      <vt:lpstr>20260824</vt:lpstr>
      <vt:lpstr>20260817</vt:lpstr>
      <vt:lpstr>20260810</vt:lpstr>
      <vt:lpstr>20260803</vt:lpstr>
      <vt:lpstr>20260727</vt:lpstr>
      <vt:lpstr>20260720</vt:lpstr>
      <vt:lpstr>20260713</vt:lpstr>
      <vt:lpstr>20260706</vt:lpstr>
      <vt:lpstr>20260629</vt:lpstr>
      <vt:lpstr>20260622</vt:lpstr>
      <vt:lpstr>20260615</vt:lpstr>
      <vt:lpstr>20260608</vt:lpstr>
      <vt:lpstr>20260601</vt:lpstr>
      <vt:lpstr>20260525</vt:lpstr>
      <vt:lpstr>20260518</vt:lpstr>
      <vt:lpstr>20260511</vt:lpstr>
      <vt:lpstr>20260504</vt:lpstr>
      <vt:lpstr>20260427</vt:lpstr>
      <vt:lpstr>20260420</vt:lpstr>
      <vt:lpstr>20260413</vt:lpstr>
      <vt:lpstr>20260408</vt:lpstr>
      <vt:lpstr>20260330</vt:lpstr>
      <vt:lpstr>20260323</vt:lpstr>
      <vt:lpstr>20260316</vt:lpstr>
      <vt:lpstr>20260309</vt:lpstr>
      <vt:lpstr>20260302</vt:lpstr>
      <vt:lpstr>20260223</vt:lpstr>
      <vt:lpstr>20260216</vt:lpstr>
      <vt:lpstr>20260209</vt:lpstr>
      <vt:lpstr>20260202</vt:lpstr>
      <vt:lpstr>20260126</vt:lpstr>
      <vt:lpstr>20260119</vt:lpstr>
      <vt:lpstr>20260112</vt:lpstr>
      <vt:lpstr>20260105</vt:lpstr>
    </vt:vector>
  </TitlesOfParts>
  <Company>United Wholesale Mortgage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Stuart</dc:creator>
  <cp:lastModifiedBy>Nathan Stuart</cp:lastModifiedBy>
  <dcterms:created xsi:type="dcterms:W3CDTF">2026-01-05T11:54:15Z</dcterms:created>
  <dcterms:modified xsi:type="dcterms:W3CDTF">2026-10-16T10:49:54Z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c92d4e-2488-4e27-8d11-718a63a2fa0f_Enabled">
    <vt:lpwstr>true</vt:lpwstr>
  </property>
  <property fmtid="{D5CDD505-2E9C-101B-9397-08002B2CF9AE}" pid="3" name="MSIP_Label_bcc92d4e-2488-4e27-8d11-718a63a2fa0f_SetDate">
    <vt:lpwstr>2026-01-05T11:55:50Z</vt:lpwstr>
  </property>
  <property fmtid="{D5CDD505-2E9C-101B-9397-08002B2CF9AE}" pid="4" name="MSIP_Label_bcc92d4e-2488-4e27-8d11-718a63a2fa0f_Method">
    <vt:lpwstr>Standard</vt:lpwstr>
  </property>
  <property fmtid="{D5CDD505-2E9C-101B-9397-08002B2CF9AE}" pid="5" name="MSIP_Label_bcc92d4e-2488-4e27-8d11-718a63a2fa0f_Name">
    <vt:lpwstr>bcc92d4e-2488-4e27-8d11-718a63a2fa0f</vt:lpwstr>
  </property>
  <property fmtid="{D5CDD505-2E9C-101B-9397-08002B2CF9AE}" pid="6" name="MSIP_Label_bcc92d4e-2488-4e27-8d11-718a63a2fa0f_SiteId">
    <vt:lpwstr>13d3189d-22a4-4f96-bbc9-2af46c222581</vt:lpwstr>
  </property>
  <property fmtid="{D5CDD505-2E9C-101B-9397-08002B2CF9AE}" pid="7" name="MSIP_Label_bcc92d4e-2488-4e27-8d11-718a63a2fa0f_ActionId">
    <vt:lpwstr>333930b2-ecd5-4c06-9d3d-695faa6526ee</vt:lpwstr>
  </property>
  <property fmtid="{D5CDD505-2E9C-101B-9397-08002B2CF9AE}" pid="8" name="MSIP_Label_bcc92d4e-2488-4e27-8d11-718a63a2fa0f_ContentBits">
    <vt:lpwstr>0</vt:lpwstr>
  </property>
  <property fmtid="{D5CDD505-2E9C-101B-9397-08002B2CF9AE}" pid="9" name="MSIP_Label_bcc92d4e-2488-4e27-8d11-718a63a2fa0f_Tag">
    <vt:lpwstr>10, 3, 0, 1</vt:lpwstr>
  </property>
</Properties>
</file>