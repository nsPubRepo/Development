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AF27A0FC-98BF-4588-8C33-4788083D6858}" xr6:coauthVersionLast="47" xr6:coauthVersionMax="47" xr10:uidLastSave="{00000000-0000-0000-0000-000000000000}"/>
  <bookViews>
    <workbookView xWindow="4155" yWindow="1095" windowWidth="24360" windowHeight="16905" xr2:uid="{F0FEE646-CA9E-4872-A8E1-626BBC6FFE10}"/>
  </bookViews>
  <sheets>
    <sheet name="20260323" sheetId="12" r:id="rId1"/>
    <sheet name="20260316" sheetId="11" r:id="rId2"/>
    <sheet name="20260309" sheetId="10" r:id="rId3"/>
    <sheet name="20260302" sheetId="9" r:id="rId4"/>
    <sheet name="20260223" sheetId="8" state="hidden" r:id="rId5"/>
    <sheet name="20260216" sheetId="7" state="hidden" r:id="rId6"/>
    <sheet name="20260209" sheetId="6" state="hidden" r:id="rId7"/>
    <sheet name="20260202" sheetId="5" state="hidden" r:id="rId8"/>
    <sheet name="20260126" sheetId="4" state="hidden" r:id="rId9"/>
    <sheet name="20260119" sheetId="3" state="hidden" r:id="rId10"/>
    <sheet name="20260112" sheetId="2" state="hidden" r:id="rId11"/>
    <sheet name="20260105" sheetId="1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2" l="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J4" i="12" s="1"/>
  <c r="L4" i="12" s="1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2" l="1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2" l="1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<sst xmlns="http://schemas.openxmlformats.org/spreadsheetml/2006/main" count="156" uniqueCount="25">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</sst>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10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tabSelected="1" zoomScale="85" zoomScaleNormal="85" workbookViewId="0">
      <selection activeCell="C2" sqref="C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/>
      <c r="D2" s="8"/>
      <c r="E2" s="9">
        <v>0.66666666666666663</v>
      </c>
      <c r="F2" s="30">
        <f>IF(G2 &gt;= 8, 4 + COUNT(B2:E2), IF(AND(G2 &gt;= 4, G2 &lt;= 7), 2 + COUNT(B2:E2), COUNT(B2:E2)))</f>
        <v>2</v>
      </c>
      <c r="G2" s="10"/>
      <c r="H2" s="10">
        <f>SUM(C2 - B2) * 24</f>
        <v>-6.9166666666666661</v>
      </c>
      <c r="I2" s="11">
        <f>SUM(E2 - D2) * 24</f>
        <v>16</v>
      </c>
      <c r="J2" s="12">
        <f>H2 + I2 + G2</f>
        <v>9.0833333333333339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9.0833333333333339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30.916666666666664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9" priority="1" operator="greaterThan">
      <formula>3</formula>
    </cfRule>
    <cfRule type="cellIs" dxfId="98" priority="2" operator="lessThan">
      <formula>4</formula>
    </cfRule>
  </conditionalFormatting>
  <conditionalFormatting sqref="J2:J6">
    <cfRule type="cellIs" dxfId="97" priority="6" operator="greaterThan">
      <formula>7.99999999</formula>
    </cfRule>
    <cfRule type="cellIs" dxfId="96" priority="7" operator="lessThan">
      <formula>8</formula>
    </cfRule>
  </conditionalFormatting>
  <conditionalFormatting sqref="J7">
    <cfRule type="cellIs" dxfId="95" priority="8" operator="lessThan">
      <formula>40</formula>
    </cfRule>
    <cfRule type="cellIs" dxfId="94" priority="9" operator="greaterThan">
      <formula>39.999999</formula>
    </cfRule>
  </conditionalFormatting>
  <conditionalFormatting sqref="L2:L6">
    <cfRule type="cellIs" dxfId="93" priority="3" operator="equal">
      <formula>"-"</formula>
    </cfRule>
    <cfRule type="cellIs" dxfId="92" priority="4" operator="greaterThan">
      <formula>0.1</formula>
    </cfRule>
    <cfRule type="cellIs" dxfId="91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2026-03-23T10:41:40Z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