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568FADB6-4A2C-44E6-B2FF-1434CAC5FA75}" xr6:coauthVersionLast="47" xr6:coauthVersionMax="47" xr10:uidLastSave="{00000000-0000-0000-0000-000000000000}"/>
  <bookViews>
    <workbookView xWindow="345" yWindow="705" windowWidth="25575" windowHeight="16605" xr2:uid="{F0FEE646-CA9E-4872-A8E1-626BBC6FFE10}"/>
  </bookViews>
  <sheets>
    <sheet name="20261012" sheetId="41" r:id="rId1"/>
    <sheet name="20261005" sheetId="40" r:id="rId2"/>
    <sheet name="20260928" sheetId="39" state="hidden" r:id="rId3"/>
    <sheet name="20260921" sheetId="38" state="hidden" r:id="rId4"/>
    <sheet name="20260914" sheetId="37" state="hidden" r:id="rId5"/>
    <sheet name="20260907" sheetId="36" state="hidden" r:id="rId6"/>
    <sheet name="20260831" sheetId="35" state="hidden" r:id="rId7"/>
    <sheet name="20260824" sheetId="34" state="hidden" r:id="rId8"/>
    <sheet name="20260817" sheetId="33" state="hidden" r:id="rId9"/>
    <sheet name="20260810" sheetId="32" state="hidden" r:id="rId10"/>
    <sheet name="20260803" sheetId="31" state="hidden" r:id="rId11"/>
    <sheet name="20260727" sheetId="30" state="hidden" r:id="rId12"/>
    <sheet name="20260720" sheetId="29" state="hidden" r:id="rId13"/>
    <sheet name="20260713" sheetId="28" state="hidden" r:id="rId14"/>
    <sheet name="20260706" sheetId="27" state="hidden" r:id="rId15"/>
    <sheet name="20260629" sheetId="26" state="hidden" r:id="rId16"/>
    <sheet name="20260622" sheetId="25" state="hidden" r:id="rId17"/>
    <sheet name="20260615" sheetId="24" state="hidden" r:id="rId18"/>
    <sheet name="20260608" sheetId="23" state="hidden" r:id="rId19"/>
    <sheet name="20260601" sheetId="22" state="hidden" r:id="rId20"/>
    <sheet name="20260525" sheetId="21" state="hidden" r:id="rId21"/>
    <sheet name="20260518" sheetId="20" state="hidden" r:id="rId22"/>
    <sheet name="20260511" sheetId="19" state="hidden" r:id="rId23"/>
    <sheet name="20260504" sheetId="18" state="hidden" r:id="rId24"/>
    <sheet name="20260427" sheetId="17" state="hidden" r:id="rId25"/>
    <sheet name="20260420" sheetId="16" state="hidden" r:id="rId26"/>
    <sheet name="20260413" sheetId="15" state="hidden" r:id="rId27"/>
    <sheet name="20260408" sheetId="14" state="hidden" r:id="rId28"/>
    <sheet name="20260330" sheetId="13" state="hidden" r:id="rId29"/>
    <sheet name="20260323" sheetId="12" state="hidden" r:id="rId30"/>
    <sheet name="20260316" sheetId="11" state="hidden" r:id="rId31"/>
    <sheet name="20260309" sheetId="10" state="hidden" r:id="rId32"/>
    <sheet name="20260302" sheetId="9" state="hidden" r:id="rId33"/>
    <sheet name="20260223" sheetId="8" state="hidden" r:id="rId34"/>
    <sheet name="20260216" sheetId="7" state="hidden" r:id="rId35"/>
    <sheet name="20260209" sheetId="6" state="hidden" r:id="rId36"/>
    <sheet name="20260202" sheetId="5" state="hidden" r:id="rId37"/>
    <sheet name="20260126" sheetId="4" state="hidden" r:id="rId38"/>
    <sheet name="20260119" sheetId="3" state="hidden" r:id="rId39"/>
    <sheet name="20260112" sheetId="2" state="hidden" r:id="rId40"/>
    <sheet name="20260105" sheetId="1" state="hidden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1" l="1"/>
  <c r="I6" i="41"/>
  <c r="H6" i="41"/>
  <c r="J6" i="41" s="1"/>
  <c r="L6" i="41" s="1"/>
  <c r="F6" i="41"/>
  <c r="K5" i="41"/>
  <c r="I5" i="41"/>
  <c r="H5" i="41"/>
  <c r="F5" i="41"/>
  <c r="K4" i="41"/>
  <c r="I4" i="41"/>
  <c r="H4" i="41"/>
  <c r="J4" i="41" s="1"/>
  <c r="L4" i="41" s="1"/>
  <c r="F4" i="41"/>
  <c r="K3" i="41"/>
  <c r="I3" i="41"/>
  <c r="H3" i="41"/>
  <c r="F3" i="41"/>
  <c r="K2" i="41"/>
  <c r="I2" i="41"/>
  <c r="H2" i="41"/>
  <c r="J2" i="41" s="1"/>
  <c r="F2" i="41"/>
  <c r="A1" i="41" a="1"/>
  <c r="A1" i="41" s="1"/>
  <c r="K6" i="40"/>
  <c r="I6" i="40"/>
  <c r="H6" i="40"/>
  <c r="F6" i="40"/>
  <c r="K5" i="40"/>
  <c r="I5" i="40"/>
  <c r="H5" i="40"/>
  <c r="F5" i="40"/>
  <c r="K4" i="40"/>
  <c r="I4" i="40"/>
  <c r="H4" i="40"/>
  <c r="F4" i="40"/>
  <c r="K3" i="40"/>
  <c r="I3" i="40"/>
  <c r="H3" i="40"/>
  <c r="J3" i="40" s="1"/>
  <c r="L3" i="40" s="1"/>
  <c r="F3" i="40"/>
  <c r="K2" i="40"/>
  <c r="I2" i="40"/>
  <c r="H2" i="40"/>
  <c r="J2" i="40" s="1"/>
  <c r="F2" i="40"/>
  <c r="A1" i="40" a="1"/>
  <c r="A1" i="40" s="1"/>
  <c r="F6" i="39"/>
  <c r="K6" i="39"/>
  <c r="I6" i="39"/>
  <c r="H6" i="39"/>
  <c r="J6" i="39" s="1"/>
  <c r="L6" i="39" s="1"/>
  <c r="K5" i="39"/>
  <c r="I5" i="39"/>
  <c r="H5" i="39"/>
  <c r="J5" i="39" s="1"/>
  <c r="L5" i="39" s="1"/>
  <c r="F5" i="39"/>
  <c r="K4" i="39"/>
  <c r="I4" i="39"/>
  <c r="H4" i="39"/>
  <c r="J4" i="39" s="1"/>
  <c r="L4" i="39" s="1"/>
  <c r="F4" i="39"/>
  <c r="K3" i="39"/>
  <c r="I3" i="39"/>
  <c r="H3" i="39"/>
  <c r="F3" i="39"/>
  <c r="K2" i="39"/>
  <c r="I2" i="39"/>
  <c r="H2" i="39"/>
  <c r="J2" i="39" s="1"/>
  <c r="F2" i="39"/>
  <c r="A1" i="39" a="1"/>
  <c r="A1" i="39" s="1"/>
  <c r="K6" i="38"/>
  <c r="I6" i="38"/>
  <c r="H6" i="38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41" l="1"/>
  <c r="L3" i="41" s="1"/>
  <c r="J5" i="41"/>
  <c r="L5" i="41" s="1"/>
  <c r="K7" i="41"/>
  <c r="J7" i="41"/>
  <c r="A3" i="41"/>
  <c r="A4" i="41"/>
  <c r="A2" i="41"/>
  <c r="A6" i="41"/>
  <c r="A5" i="41"/>
  <c r="L2" i="41"/>
  <c r="L7" i="41" s="1"/>
  <c r="J6" i="40"/>
  <c r="L6" i="40" s="1"/>
  <c r="J5" i="40"/>
  <c r="L5" i="40" s="1"/>
  <c r="K7" i="40"/>
  <c r="J4" i="40"/>
  <c r="L4" i="40" s="1"/>
  <c r="A4" i="40"/>
  <c r="A2" i="40"/>
  <c r="A6" i="40"/>
  <c r="L2" i="40"/>
  <c r="A3" i="40"/>
  <c r="A5" i="40"/>
  <c r="J3" i="39"/>
  <c r="L3" i="39" s="1"/>
  <c r="K7" i="39"/>
  <c r="A5" i="39"/>
  <c r="A4" i="39"/>
  <c r="A2" i="39"/>
  <c r="A3" i="39"/>
  <c r="A6" i="39"/>
  <c r="J7" i="39"/>
  <c r="L2" i="39"/>
  <c r="L7" i="39" s="1"/>
  <c r="J6" i="38"/>
  <c r="L6" i="38" s="1"/>
  <c r="J4" i="38"/>
  <c r="L4" i="38" s="1"/>
  <c r="J5" i="38"/>
  <c r="L5" i="38" s="1"/>
  <c r="K7" i="38"/>
  <c r="A4" i="38"/>
  <c r="A5" i="38"/>
  <c r="A2" i="38"/>
  <c r="A3" i="38"/>
  <c r="A6" i="38"/>
  <c r="L2" i="38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41" l="1"/>
  <c r="J9" i="41"/>
  <c r="L7" i="40"/>
  <c r="J7" i="40"/>
  <c r="J7" i="38"/>
  <c r="L7" i="38"/>
  <c r="J10" i="39"/>
  <c r="J9" i="39"/>
  <c r="J10" i="38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40" l="1"/>
  <c r="J10" i="40"/>
  <c r="J9" i="37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<sst xmlns="http://schemas.openxmlformats.org/spreadsheetml/2006/main" count="562" uniqueCount="25">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</sst>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CC5C5-F7CB-43C7-9CDC-410BE50A947C}">
  <dimension ref="A1:M25"/>
  <sheetViews>
    <sheetView tabSelected="1" zoomScale="85" zoomScaleNormal="85" workbookViewId="0">
      <selection activeCell="C4" sqref="C4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0.54513888888888884</v>
      </c>
      <c r="D2" s="8">
        <v>0.57638888888888884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6.1666666666666661</v>
      </c>
      <c r="I2" s="11">
        <f>SUM(E2 - D2) * 24</f>
        <v>2.166666666666667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0.5625</v>
      </c>
      <c r="D3" s="8">
        <v>0.59236111111111112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1.7833333333333323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/>
      <c r="D4" s="8"/>
      <c r="E4" s="8">
        <v>0.66666666666666663</v>
      </c>
      <c r="F4" s="30">
        <f>IF(G4 &gt;= 8, 4 + COUNT(B4:E4), IF(AND(G4 &gt;= 4, G4 &lt;= 7), 2 + COUNT(B4:E4), COUNT(B4:E4)))</f>
        <v>2</v>
      </c>
      <c r="G4" s="28"/>
      <c r="H4" s="10">
        <f t="shared" ref="H4:H5" si="2">SUM(C4 - B4) * 24</f>
        <v>-6.9166666666666661</v>
      </c>
      <c r="I4" s="11">
        <f t="shared" ref="I4:I6" si="3">SUM(E4 - D4) * 24</f>
        <v>16</v>
      </c>
      <c r="J4" s="12">
        <f t="shared" si="1"/>
        <v>9.0833333333333339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25.783333333333331</v>
      </c>
      <c r="K7" s="25">
        <f>IF(SUM(K2:K6) &lt;&gt; 0, ((60*5) - SUM(K2:K6)) / 60, 0)</f>
        <v>3.5333333333333332</v>
      </c>
      <c r="L7" s="34">
        <f>(IF(SUM(L2:L6) &lt;&gt; 0, (SUM(L2:L6)/ 60), 0) * -1) * 60</f>
        <v>43.999999999999957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14.216666666666669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20" priority="3" operator="greaterThan">
      <formula>3</formula>
    </cfRule>
    <cfRule type="cellIs" dxfId="419" priority="4" operator="lessThan">
      <formula>4</formula>
    </cfRule>
  </conditionalFormatting>
  <conditionalFormatting sqref="J2:J6">
    <cfRule type="cellIs" dxfId="418" priority="8" operator="greaterThan">
      <formula>7.99999999</formula>
    </cfRule>
    <cfRule type="cellIs" dxfId="417" priority="9" operator="lessThan">
      <formula>8</formula>
    </cfRule>
  </conditionalFormatting>
  <conditionalFormatting sqref="J7">
    <cfRule type="cellIs" dxfId="416" priority="10" operator="lessThan">
      <formula>40</formula>
    </cfRule>
    <cfRule type="cellIs" dxfId="415" priority="11" operator="greaterThan">
      <formula>39.999999</formula>
    </cfRule>
  </conditionalFormatting>
  <conditionalFormatting sqref="K7">
    <cfRule type="cellIs" dxfId="414" priority="1" operator="greaterThan">
      <formula>0</formula>
    </cfRule>
    <cfRule type="cellIs" dxfId="413" priority="2" operator="lessThan">
      <formula>0</formula>
    </cfRule>
  </conditionalFormatting>
  <conditionalFormatting sqref="L2:L6">
    <cfRule type="cellIs" dxfId="412" priority="5" operator="equal">
      <formula>"-"</formula>
    </cfRule>
    <cfRule type="cellIs" dxfId="411" priority="6" operator="greaterThan">
      <formula>0.1</formula>
    </cfRule>
    <cfRule type="cellIs" dxfId="41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9D3B-74C1-4606-AD5E-3ACF14EBFDD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10/05/2026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0.28819444444444442</v>
      </c>
      <c r="C2" s="8">
        <v>0.52083333333333337</v>
      </c>
      <c r="D2" s="8">
        <v>0.55138888888888893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5.5833333333333348</v>
      </c>
      <c r="I2" s="11">
        <f>SUM(E2 - D2) * 24</f>
        <v>2.7666666666666648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0.52361111111111114</v>
      </c>
      <c r="D3" s="8">
        <v>0.55486111111111114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5.6500000000000012</v>
      </c>
      <c r="I3" s="11">
        <f>SUM(E3 - D3) * 24</f>
        <v>2.6833333333333318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0.53472222222222221</v>
      </c>
      <c r="D4" s="8">
        <v>0.56597222222222221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5.916666666666667</v>
      </c>
      <c r="I4" s="11">
        <f t="shared" ref="I4:I6" si="3">SUM(E4 - D4) * 24</f>
        <v>2.4166666666666661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0.56805555555555554</v>
      </c>
      <c r="D5" s="8">
        <v>0.6</v>
      </c>
      <c r="E5" s="8">
        <v>0.66666666666666663</v>
      </c>
      <c r="F5" s="30">
        <f t="shared" si="0"/>
        <v>4</v>
      </c>
      <c r="G5" s="28"/>
      <c r="H5" s="10">
        <f t="shared" si="2"/>
        <v>6.7166666666666668</v>
      </c>
      <c r="I5" s="11">
        <f t="shared" si="3"/>
        <v>1.5999999999999996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0.28958333333333336</v>
      </c>
      <c r="C6" s="8">
        <v>0.56805555555555554</v>
      </c>
      <c r="D6" s="8">
        <v>0.59861111111111109</v>
      </c>
      <c r="E6" s="8">
        <v>0.66805555555555551</v>
      </c>
      <c r="F6" s="30">
        <f t="shared" si="0"/>
        <v>4</v>
      </c>
      <c r="G6" s="10"/>
      <c r="H6" s="10">
        <f>SUM(C6 - B6) * 24</f>
        <v>6.6833333333333318</v>
      </c>
      <c r="I6" s="11">
        <f t="shared" si="3"/>
        <v>1.6666666666666661</v>
      </c>
      <c r="J6" s="12">
        <f t="shared" si="1"/>
        <v>8.3499999999999979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-21.999999999999872</v>
      </c>
    </row>
    <row r="7" spans="1:13" ht="36.75" thickBot="1" x14ac:dyDescent="0.6">
      <c r="B7" s="19"/>
      <c r="I7" s="21" t="s">
        <v>10</v>
      </c>
      <c r="J7" s="22">
        <f>SUM(J2:J6)</f>
        <v>41.683333333333323</v>
      </c>
      <c r="K7" s="25">
        <f>IF(SUM(K2:K6) &lt;&gt; 0, ((60*5) - SUM(K2:K6)) / 60, 0)</f>
        <v>1.2666666666666666</v>
      </c>
      <c r="L7" s="34">
        <f>(IF(SUM(L2:L6) &lt;&gt; 0, (SUM(L2:L6)/ 60), 0) * -1) * 60</f>
        <v>105.9999999999997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-1.6833333333333229</v>
      </c>
      <c r="K9" s="26"/>
    </row>
    <row r="10" spans="1:13" ht="24" thickBot="1" x14ac:dyDescent="0.4">
      <c r="I10" s="32" t="s">
        <v>21</v>
      </c>
      <c r="J10" s="25">
        <f>IF(J7 &lt; 40, "-", J7-40)</f>
        <v>1.6833333333333229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09" priority="3" operator="greaterThan">
      <formula>3</formula>
    </cfRule>
    <cfRule type="cellIs" dxfId="408" priority="4" operator="lessThan">
      <formula>4</formula>
    </cfRule>
  </conditionalFormatting>
  <conditionalFormatting sqref="J2:J6">
    <cfRule type="cellIs" dxfId="407" priority="8" operator="greaterThan">
      <formula>7.99999999</formula>
    </cfRule>
    <cfRule type="cellIs" dxfId="406" priority="9" operator="lessThan">
      <formula>8</formula>
    </cfRule>
  </conditionalFormatting>
  <conditionalFormatting sqref="J7">
    <cfRule type="cellIs" dxfId="405" priority="10" operator="lessThan">
      <formula>40</formula>
    </cfRule>
    <cfRule type="cellIs" dxfId="404" priority="11" operator="greaterThan">
      <formula>39.999999</formula>
    </cfRule>
  </conditionalFormatting>
  <conditionalFormatting sqref="K7">
    <cfRule type="cellIs" dxfId="403" priority="1" operator="greaterThan">
      <formula>0</formula>
    </cfRule>
    <cfRule type="cellIs" dxfId="402" priority="2" operator="lessThan">
      <formula>0</formula>
    </cfRule>
  </conditionalFormatting>
  <conditionalFormatting sqref="L2:L6">
    <cfRule type="cellIs" dxfId="401" priority="5" operator="equal">
      <formula>"-"</formula>
    </cfRule>
    <cfRule type="cellIs" dxfId="400" priority="6" operator="greaterThan">
      <formula>0.1</formula>
    </cfRule>
    <cfRule type="cellIs" dxfId="39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A0F6-C2E7-4667-8D20-B384B9D566A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(28th)</v>
      </c>
      <c r="B2" s="8">
        <v>0.28819444444444442</v>
      </c>
      <c r="C2" s="8">
        <v>0.47986111111111113</v>
      </c>
      <c r="D2" s="8">
        <v>0.51597222222222228</v>
      </c>
      <c r="E2" s="8">
        <v>0.66736111111111107</v>
      </c>
      <c r="F2" s="30">
        <f>IF(G2 &gt;= 8, 4 + COUNT(B2:E2), IF(AND(G2 &gt;= 4, G2 &lt;= 7), 2 + COUNT(B2:E2), COUNT(B2:E2)))</f>
        <v>4</v>
      </c>
      <c r="G2" s="28"/>
      <c r="H2" s="10">
        <f>SUM(C2 - B2) * 24</f>
        <v>4.6000000000000014</v>
      </c>
      <c r="I2" s="11">
        <f>SUM(E2 - D2) * 24</f>
        <v>3.6333333333333311</v>
      </c>
      <c r="J2" s="12">
        <f>H2 + I2 + G2</f>
        <v>8.2333333333333325</v>
      </c>
      <c r="K2" s="13">
        <f>IF(AND(C2 &lt;&gt; "", D2 &lt;&gt; ""), (SUM(D2 - C2) * 1440), " - ")</f>
        <v>52.000000000000057</v>
      </c>
      <c r="L2" s="14">
        <f>IF(AND((B2 &lt;&gt; ""), (C2 &lt;&gt; ""), (D2 &lt;&gt; ""), (E2 &lt;&gt; "")), IF((((8 - J2) * 60) + 1) &gt; 0, (((8 - J2) * 60) + 1), (((8 - J2) * 60) - 1)), "-")</f>
        <v>-14.99999999999995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(29th)</v>
      </c>
      <c r="B3" s="8">
        <v>0.28819444444444442</v>
      </c>
      <c r="C3" s="8">
        <v>0.51597222222222228</v>
      </c>
      <c r="D3" s="8">
        <v>0.54583333333333328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5.4666666666666686</v>
      </c>
      <c r="I3" s="11">
        <f>SUM(E3 - D3) * 24</f>
        <v>2.9000000000000004</v>
      </c>
      <c r="J3" s="12">
        <f t="shared" ref="J3:J6" si="1">H3 + I3 + G3</f>
        <v>8.3666666666666689</v>
      </c>
      <c r="K3" s="13">
        <f>IF(AND(C3 &lt;&gt; "", D3 &lt;&gt; ""), (SUM(D3 - C3) * 1440), " - ")</f>
        <v>42.999999999999844</v>
      </c>
      <c r="L3" s="14">
        <f>IF(AND((B3 &lt;&gt; ""), (C3 &lt;&gt; ""), (D3 &lt;&gt; ""), (E3 &lt;&gt; "")), IF((((8 - J3) * 60) + 1) &gt; 0, (((8 - J3) * 60) + 1), (((8 - J3) * 60) - 1)), "-")</f>
        <v>-23.000000000000135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(30th)</v>
      </c>
      <c r="B4" s="8">
        <v>0.28819444444444442</v>
      </c>
      <c r="C4" s="8">
        <v>0.54861111111111116</v>
      </c>
      <c r="D4" s="8">
        <v>0.5805555555555556</v>
      </c>
      <c r="E4" s="8">
        <v>0.66736111111111107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6.2500000000000018</v>
      </c>
      <c r="I4" s="11">
        <f t="shared" ref="I4:I6" si="3">SUM(E4 - D4) * 24</f>
        <v>2.0833333333333313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(1st)</v>
      </c>
      <c r="B5" s="8">
        <v>0.28819444444444442</v>
      </c>
      <c r="C5" s="8">
        <v>0.50347222222222221</v>
      </c>
      <c r="D5" s="8">
        <v>0.53333333333333333</v>
      </c>
      <c r="E5" s="8">
        <v>0.66666666666666663</v>
      </c>
      <c r="F5" s="30">
        <f t="shared" si="0"/>
        <v>4</v>
      </c>
      <c r="G5" s="28"/>
      <c r="H5" s="10">
        <f t="shared" si="2"/>
        <v>5.166666666666667</v>
      </c>
      <c r="I5" s="11">
        <f t="shared" si="3"/>
        <v>3.1999999999999993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(2nd)</v>
      </c>
      <c r="B6" s="8">
        <v>0.375</v>
      </c>
      <c r="C6" s="27"/>
      <c r="D6" s="27"/>
      <c r="E6" s="8">
        <v>0.54166666666666663</v>
      </c>
      <c r="F6" s="30">
        <f t="shared" si="0"/>
        <v>4</v>
      </c>
      <c r="G6" s="10">
        <v>4</v>
      </c>
      <c r="H6" s="10">
        <f>SUM(C6 - B6) * 24</f>
        <v>-9</v>
      </c>
      <c r="I6" s="11">
        <f t="shared" si="3"/>
        <v>13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</v>
      </c>
      <c r="K7" s="25">
        <f>IF(SUM(K2:K6) &lt;&gt; 0, ((60*5) - SUM(K2:K6)) / 60, 0)</f>
        <v>1.9333333333333351</v>
      </c>
      <c r="L7" s="34">
        <f>IF(SUM(L2:L6) &lt;&gt; 0, (SUM(L2:L6)/ 60), 0) * -1</f>
        <v>1.3666666666666674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-1.2999999999999972</v>
      </c>
      <c r="K9" s="26"/>
    </row>
    <row r="10" spans="1:13" ht="24" thickBot="1" x14ac:dyDescent="0.4">
      <c r="I10" s="32" t="s">
        <v>21</v>
      </c>
      <c r="J10" s="25">
        <f>IF(J7 &lt; 40, "-", J7-40)</f>
        <v>1.2999999999999972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98" priority="3" operator="greaterThan">
      <formula>3</formula>
    </cfRule>
    <cfRule type="cellIs" dxfId="397" priority="4" operator="lessThan">
      <formula>4</formula>
    </cfRule>
  </conditionalFormatting>
  <conditionalFormatting sqref="J2:J6">
    <cfRule type="cellIs" dxfId="396" priority="8" operator="greaterThan">
      <formula>7.99999999</formula>
    </cfRule>
    <cfRule type="cellIs" dxfId="395" priority="9" operator="lessThan">
      <formula>8</formula>
    </cfRule>
  </conditionalFormatting>
  <conditionalFormatting sqref="J7">
    <cfRule type="cellIs" dxfId="394" priority="10" operator="lessThan">
      <formula>40</formula>
    </cfRule>
    <cfRule type="cellIs" dxfId="393" priority="11" operator="greaterThan">
      <formula>39.999999</formula>
    </cfRule>
  </conditionalFormatting>
  <conditionalFormatting sqref="K7">
    <cfRule type="cellIs" dxfId="392" priority="1" operator="greaterThan">
      <formula>0</formula>
    </cfRule>
    <cfRule type="cellIs" dxfId="391" priority="2" operator="lessThan">
      <formula>0</formula>
    </cfRule>
  </conditionalFormatting>
  <conditionalFormatting sqref="L2:L6">
    <cfRule type="cellIs" dxfId="390" priority="5" operator="equal">
      <formula>"-"</formula>
    </cfRule>
    <cfRule type="cellIs" dxfId="389" priority="6" operator="greaterThan">
      <formula>0.1</formula>
    </cfRule>
    <cfRule type="cellIs" dxfId="38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>
        <v>0.28819444444444442</v>
      </c>
      <c r="C6" s="8">
        <v>0.50972222222222219</v>
      </c>
      <c r="D6" s="8">
        <v>0.54166666666666663</v>
      </c>
      <c r="E6" s="8">
        <v>0.66666666666666663</v>
      </c>
      <c r="F6" s="30">
        <f t="shared" si="0"/>
        <v>4</v>
      </c>
      <c r="G6" s="10"/>
      <c r="H6" s="10">
        <f>SUM(C6 - B6) * 24</f>
        <v>5.3166666666666664</v>
      </c>
      <c r="I6" s="11">
        <f t="shared" si="3"/>
        <v>3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41.36666666666666</v>
      </c>
      <c r="K7" s="25">
        <f>IF(SUM(K2:K6) &lt;&gt; 0, ((60*5) - SUM(K2:K6)) / 60, 0)</f>
        <v>1.9833333333333334</v>
      </c>
      <c r="L7" s="34">
        <f>IF(SUM(L2:L6) &lt;&gt; 0, (SUM(L2:L6)/ 60), 0) * -1</f>
        <v>1.4333333333333302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-1.36666666666666</v>
      </c>
      <c r="K9" s="26"/>
    </row>
    <row r="10" spans="1:13" ht="24" thickBot="1" x14ac:dyDescent="0.4">
      <c r="I10" s="32" t="s">
        <v>21</v>
      </c>
      <c r="J10" s="25">
        <f>IF(J7 &lt; 40, "-", J7-40)</f>
        <v>1.36666666666666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20261012</vt:lpstr>
      <vt:lpstr>20261005</vt:lpstr>
      <vt:lpstr>20260928</vt:lpstr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2026-10-14T10:51:29Z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