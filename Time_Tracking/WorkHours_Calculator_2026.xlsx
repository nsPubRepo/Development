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17FEF434-2FB6-4E37-9CC3-101432852253}" xr6:coauthVersionLast="47" xr6:coauthVersionMax="47" xr10:uidLastSave="{00000000-0000-0000-0000-000000000000}"/>
  <bookViews>
    <workbookView xWindow="1305" yWindow="1905" windowWidth="28800" windowHeight="15345" xr2:uid="{F0FEE646-CA9E-4872-A8E1-626BBC6FFE10}"/>
  </bookViews>
  <sheets>
    <sheet name="20260420" sheetId="16" r:id="rId1"/>
    <sheet name="20260413" sheetId="15" r:id="rId2"/>
    <sheet name="20260408" sheetId="14" r:id="rId3"/>
    <sheet name="20260330" sheetId="13" state="hidden" r:id="rId4"/>
    <sheet name="20260323" sheetId="12" state="hidden" r:id="rId5"/>
    <sheet name="20260316" sheetId="11" state="hidden" r:id="rId6"/>
    <sheet name="20260309" sheetId="10" state="hidden" r:id="rId7"/>
    <sheet name="20260302" sheetId="9" state="hidden" r:id="rId8"/>
    <sheet name="20260223" sheetId="8" state="hidden" r:id="rId9"/>
    <sheet name="20260216" sheetId="7" state="hidden" r:id="rId10"/>
    <sheet name="20260209" sheetId="6" state="hidden" r:id="rId11"/>
    <sheet name="20260202" sheetId="5" state="hidden" r:id="rId12"/>
    <sheet name="20260126" sheetId="4" state="hidden" r:id="rId13"/>
    <sheet name="20260119" sheetId="3" state="hidden" r:id="rId14"/>
    <sheet name="20260112" sheetId="2" state="hidden" r:id="rId15"/>
    <sheet name="20260105" sheetId="1" state="hidden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6" l="1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2" i="16" l="1"/>
  <c r="K7" i="16"/>
  <c r="J6" i="16"/>
  <c r="L6" i="16" s="1"/>
  <c r="J4" i="16"/>
  <c r="L4" i="16" s="1"/>
  <c r="J7" i="16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16" l="1"/>
  <c r="J9" i="16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4" l="1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<sst xmlns="http://schemas.openxmlformats.org/spreadsheetml/2006/main" count="212" uniqueCount="25">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</sst>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4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</cellXfs>
  <cellStyles count="2">
    <cellStyle name="Comma" xfId="1" builtinId="3"/>
    <cellStyle name="Normal" xfId="0" builtinId="0"/>
  </cellStyles>
  <dxfs count="14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dimension ref="A1:M25"/>
  <sheetViews>
    <sheetView tabSelected="1" zoomScale="85" zoomScaleNormal="85" workbookViewId="0">
      <selection activeCell="B3" sqref="B3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/>
      <c r="C3" s="8"/>
      <c r="D3" s="8"/>
      <c r="E3" s="9"/>
      <c r="F3" s="30">
        <f t="shared" ref="F3:F6" si="0">IF(G3 &gt;= 8, 4 + COUNT(B3:E3), IF(AND(G3 &gt;= 4, G3 &lt;= 7), 2 + COUNT(B3:E3), COUNT(B3:E3)))</f>
        <v>0</v>
      </c>
      <c r="G3" s="10"/>
      <c r="H3" s="10">
        <f>SUM(C3 - B3) * 24</f>
        <v>0</v>
      </c>
      <c r="I3" s="11">
        <f>SUM(E3 - D3) * 24</f>
        <v>0</v>
      </c>
      <c r="J3" s="12">
        <f t="shared" ref="J3:J6" si="1">H3 + I3 + G3</f>
        <v>0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/>
      <c r="C4" s="8"/>
      <c r="D4" s="8"/>
      <c r="E4" s="9"/>
      <c r="F4" s="30">
        <f t="shared" si="0"/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/>
      <c r="C5" s="8"/>
      <c r="D5" s="8"/>
      <c r="E5" s="9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8.3666666666666671</v>
      </c>
      <c r="K7" s="25">
        <f>IF(SUM(K2:K6) &lt;&gt; 0, ((60*5) - SUM(K2:K6)) / 60, 0)</f>
        <v>4.2833333333333332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31.633333333333333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2026-04-20T16:38:52Z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