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35DB6F81-4BAA-40D5-91AD-5236EBB2DA44}" xr6:coauthVersionLast="47" xr6:coauthVersionMax="47" xr10:uidLastSave="{00000000-0000-0000-0000-000000000000}"/>
  <bookViews>
    <workbookView xWindow="2715" yWindow="915" windowWidth="32970" windowHeight="18735" xr2:uid="{F0FEE646-CA9E-4872-A8E1-626BBC6FFE10}"/>
  </bookViews>
  <sheets>
    <sheet name="20260526" sheetId="21" r:id="rId1"/>
    <sheet name="20260518" sheetId="20" r:id="rId2"/>
    <sheet name="20260511" sheetId="19" r:id="rId3"/>
    <sheet name="20260504" sheetId="18" r:id="rId4"/>
    <sheet name="20260427" sheetId="17" state="hidden" r:id="rId5"/>
    <sheet name="20260420" sheetId="16" state="hidden" r:id="rId6"/>
    <sheet name="20260413" sheetId="15" state="hidden" r:id="rId7"/>
    <sheet name="20260408" sheetId="14" state="hidden" r:id="rId8"/>
    <sheet name="20260330" sheetId="13" state="hidden" r:id="rId9"/>
    <sheet name="20260323" sheetId="12" state="hidden" r:id="rId10"/>
    <sheet name="20260316" sheetId="11" state="hidden" r:id="rId11"/>
    <sheet name="20260309" sheetId="10" state="hidden" r:id="rId12"/>
    <sheet name="20260302" sheetId="9" state="hidden" r:id="rId13"/>
    <sheet name="20260223" sheetId="8" state="hidden" r:id="rId14"/>
    <sheet name="20260216" sheetId="7" state="hidden" r:id="rId15"/>
    <sheet name="20260209" sheetId="6" state="hidden" r:id="rId16"/>
    <sheet name="20260202" sheetId="5" state="hidden" r:id="rId17"/>
    <sheet name="20260126" sheetId="4" state="hidden" r:id="rId18"/>
    <sheet name="20260119" sheetId="3" state="hidden" r:id="rId19"/>
    <sheet name="20260112" sheetId="2" state="hidden" r:id="rId20"/>
    <sheet name="20260105" sheetId="1" state="hidden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1" l="1"/>
  <c r="K6" i="21"/>
  <c r="I6" i="21"/>
  <c r="H6" i="21"/>
  <c r="J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2" i="21" l="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21" l="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7" l="1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<sst xmlns="http://schemas.openxmlformats.org/spreadsheetml/2006/main" count="282" uniqueCount="25">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</sst>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20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dimension ref="A1:M25"/>
  <sheetViews>
    <sheetView tabSelected="1" zoomScale="85" zoomScaleNormal="85" workbookViewId="0">
      <selection activeCell="B4" sqref="B4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Tue (26th)</v>
      </c>
      <c r="B2" s="8">
        <v>0.28819444444444442</v>
      </c>
      <c r="C2" s="8">
        <v>0.51527777777777772</v>
      </c>
      <c r="D2" s="8">
        <v>0.53749999999999998</v>
      </c>
      <c r="E2" s="9">
        <v>0.64583333333333337</v>
      </c>
      <c r="F2" s="30">
        <f>IF(G2 &gt;= 8, 4 + COUNT(B2:E2), IF(AND(G2 &gt;= 4, G2 &lt;= 7), 2 + COUNT(B2:E2), COUNT(B2:E2)))</f>
        <v>4</v>
      </c>
      <c r="G2" s="10">
        <v>0.5</v>
      </c>
      <c r="H2" s="10">
        <f>SUM(C2 - B2) * 24</f>
        <v>5.4499999999999993</v>
      </c>
      <c r="I2" s="11">
        <f>SUM(E2 - D2) * 24</f>
        <v>2.6000000000000014</v>
      </c>
      <c r="J2" s="12">
        <f>H2 + I2 + G2</f>
        <v>8.5500000000000007</v>
      </c>
      <c r="K2" s="13">
        <f>IF(AND(C2 &lt;&gt; "", D2 &lt;&gt; ""), (SUM(D2 - C2) * 1440), " - ")</f>
        <v>32.000000000000043</v>
      </c>
      <c r="L2" s="14">
        <f>IF(AND((B2 &lt;&gt; ""), (C2 &lt;&gt; ""), (D2 &lt;&gt; ""), (E2 &lt;&gt; "")), IF((((8 - J2) * 60) + 1) &gt; 0, (((8 - J2) * 60) + 1), (((8 - J2) * 60) - 1)), "-")</f>
        <v>-34.000000000000043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Wed (27th)</v>
      </c>
      <c r="B3" s="8">
        <v>0.28819444444444442</v>
      </c>
      <c r="C3" s="8">
        <v>0.50347222222222221</v>
      </c>
      <c r="D3" s="8">
        <v>0.53402777777777777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5.166666666666667</v>
      </c>
      <c r="I3" s="11">
        <f>SUM(E3 - D3) * 24</f>
        <v>3.1833333333333327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Thu (28th)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Fri (29th)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Sat (30th)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16.899999999999999</v>
      </c>
      <c r="K7" s="25">
        <f>IF(SUM(K2:K6) &lt;&gt; 0, ((60*5) - SUM(K2:K6)) / 60, 0)</f>
        <v>3.7333333333333325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23.1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20260526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2026-05-27T16:50:08Z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