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0CFC1A54-34DB-4091-BA74-75525E4CB85B}" xr6:coauthVersionLast="47" xr6:coauthVersionMax="47" xr10:uidLastSave="{00000000-0000-0000-0000-000000000000}"/>
  <bookViews>
    <workbookView xWindow="41595" yWindow="1845" windowWidth="24360" windowHeight="16905" xr2:uid="{F0FEE646-CA9E-4872-A8E1-626BBC6FFE10}"/>
  </bookViews>
  <sheets>
    <sheet name="20260309" sheetId="10" r:id="rId1"/>
    <sheet name="20260302" sheetId="9" r:id="rId2"/>
    <sheet name="20260223" sheetId="8" state="hidden" r:id="rId3"/>
    <sheet name="20260216" sheetId="7" state="hidden" r:id="rId4"/>
    <sheet name="20260209" sheetId="6" state="hidden" r:id="rId5"/>
    <sheet name="20260202" sheetId="5" state="hidden" r:id="rId6"/>
    <sheet name="20260126" sheetId="4" state="hidden" r:id="rId7"/>
    <sheet name="20260119" sheetId="3" state="hidden" r:id="rId8"/>
    <sheet name="20260112" sheetId="2" state="hidden" r:id="rId9"/>
    <sheet name="20260105" sheetId="1" state="hidden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0" l="1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6" i="10" l="1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7" i="10" l="1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9" i="10" l="1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<sst xmlns="http://schemas.openxmlformats.org/spreadsheetml/2006/main" count="128" uniqueCount="25">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</sst>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3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8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dimension ref="A1:M25"/>
  <sheetViews>
    <sheetView tabSelected="1" zoomScale="85" zoomScaleNormal="85" workbookViewId="0">
      <selection activeCell="C6" sqref="C6"/>
    </sheetView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/>
      <c r="D6" s="8"/>
      <c r="E6" s="9">
        <v>0.66666666666666663</v>
      </c>
      <c r="F6" s="30">
        <f t="shared" si="0"/>
        <v>2</v>
      </c>
      <c r="G6" s="10"/>
      <c r="H6" s="10">
        <f>SUM(C6 - B6) * 24</f>
        <v>-6.9166666666666661</v>
      </c>
      <c r="I6" s="11">
        <f t="shared" si="3"/>
        <v>16</v>
      </c>
      <c r="J6" s="12">
        <f t="shared" si="1"/>
        <v>9.0833333333333339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42.31666666666667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-2.31666666666667</v>
      </c>
      <c r="K9" s="26"/>
    </row>
    <row r="10" spans="1:13" ht="24" thickBot="1" x14ac:dyDescent="0.4">
      <c r="I10" s="32" t="s">
        <v>21</v>
      </c>
      <c r="J10" s="25">
        <f>IF(J7 &lt; 40, "-", J7-40)</f>
        <v>2.31666666666667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1" priority="1" operator="greaterThan">
      <formula>3</formula>
    </cfRule>
    <cfRule type="cellIs" dxfId="80" priority="2" operator="lessThan">
      <formula>4</formula>
    </cfRule>
  </conditionalFormatting>
  <conditionalFormatting sqref="J2:J6">
    <cfRule type="cellIs" dxfId="79" priority="6" operator="greaterThan">
      <formula>7.99999999</formula>
    </cfRule>
    <cfRule type="cellIs" dxfId="78" priority="7" operator="lessThan">
      <formula>8</formula>
    </cfRule>
  </conditionalFormatting>
  <conditionalFormatting sqref="J7">
    <cfRule type="cellIs" dxfId="77" priority="8" operator="lessThan">
      <formula>40</formula>
    </cfRule>
    <cfRule type="cellIs" dxfId="76" priority="9" operator="greaterThan">
      <formula>39.999999</formula>
    </cfRule>
  </conditionalFormatting>
  <conditionalFormatting sqref="L2:L6">
    <cfRule type="cellIs" dxfId="75" priority="3" operator="equal">
      <formula>"-"</formula>
    </cfRule>
    <cfRule type="cellIs" dxfId="74" priority="4" operator="greaterThan">
      <formula>0.1</formula>
    </cfRule>
    <cfRule type="cellIs" dxfId="7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" priority="1" operator="greaterThan">
      <formula>3</formula>
    </cfRule>
    <cfRule type="cellIs" dxfId="35" priority="2" operator="lessThan">
      <formula>4</formula>
    </cfRule>
  </conditionalFormatting>
  <conditionalFormatting sqref="J2:J6">
    <cfRule type="cellIs" dxfId="34" priority="6" operator="greaterThan">
      <formula>7.99999999</formula>
    </cfRule>
    <cfRule type="cellIs" dxfId="33" priority="7" operator="lessThan">
      <formula>8</formula>
    </cfRule>
  </conditionalFormatting>
  <conditionalFormatting sqref="J7">
    <cfRule type="cellIs" dxfId="32" priority="8" operator="lessThan">
      <formula>40</formula>
    </cfRule>
    <cfRule type="cellIs" dxfId="31" priority="9" operator="greaterThan">
      <formula>39.999999</formula>
    </cfRule>
  </conditionalFormatting>
  <conditionalFormatting sqref="L2:L6">
    <cfRule type="cellIs" dxfId="30" priority="3" operator="equal">
      <formula>"-"</formula>
    </cfRule>
    <cfRule type="cellIs" dxfId="29" priority="4" operator="greaterThan">
      <formula>0.1</formula>
    </cfRule>
    <cfRule type="cellIs" dxfId="2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7" priority="4" operator="greaterThan">
      <formula>7.99999999</formula>
    </cfRule>
    <cfRule type="cellIs" dxfId="26" priority="5" operator="lessThan">
      <formula>8</formula>
    </cfRule>
  </conditionalFormatting>
  <conditionalFormatting sqref="I7">
    <cfRule type="cellIs" dxfId="25" priority="6" operator="lessThan">
      <formula>40</formula>
    </cfRule>
    <cfRule type="cellIs" dxfId="24" priority="7" operator="greaterThan">
      <formula>39.999999</formula>
    </cfRule>
  </conditionalFormatting>
  <conditionalFormatting sqref="K2:K6">
    <cfRule type="cellIs" dxfId="23" priority="1" operator="equal">
      <formula>"-"</formula>
    </cfRule>
    <cfRule type="cellIs" dxfId="22" priority="2" operator="greaterThan">
      <formula>0.1</formula>
    </cfRule>
    <cfRule type="cellIs" dxfId="2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0" priority="4" operator="greaterThan">
      <formula>7.99999999</formula>
    </cfRule>
    <cfRule type="cellIs" dxfId="19" priority="5" operator="lessThan">
      <formula>8</formula>
    </cfRule>
  </conditionalFormatting>
  <conditionalFormatting sqref="I7">
    <cfRule type="cellIs" dxfId="18" priority="6" operator="lessThan">
      <formula>40</formula>
    </cfRule>
    <cfRule type="cellIs" dxfId="17" priority="7" operator="greaterThan">
      <formula>39.999999</formula>
    </cfRule>
  </conditionalFormatting>
  <conditionalFormatting sqref="K2:K6">
    <cfRule type="cellIs" dxfId="16" priority="1" operator="equal">
      <formula>"-"</formula>
    </cfRule>
    <cfRule type="cellIs" dxfId="15" priority="2" operator="greaterThan">
      <formula>0.1</formula>
    </cfRule>
    <cfRule type="cellIs" dxfId="14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3" priority="4" operator="greaterThan">
      <formula>7.99999999</formula>
    </cfRule>
    <cfRule type="cellIs" dxfId="12" priority="5" operator="lessThan">
      <formula>8</formula>
    </cfRule>
  </conditionalFormatting>
  <conditionalFormatting sqref="I7">
    <cfRule type="cellIs" dxfId="11" priority="6" operator="lessThan">
      <formula>40</formula>
    </cfRule>
    <cfRule type="cellIs" dxfId="10" priority="7" operator="greaterThan">
      <formula>39.999999</formula>
    </cfRule>
  </conditionalFormatting>
  <conditionalFormatting sqref="K2:K6">
    <cfRule type="cellIs" dxfId="9" priority="1" operator="equal">
      <formula>"-"</formula>
    </cfRule>
    <cfRule type="cellIs" dxfId="8" priority="2" operator="greaterThan">
      <formula>0.1</formula>
    </cfRule>
    <cfRule type="cellIs" dxfId="7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6" priority="4" operator="greaterThan">
      <formula>7.99999999</formula>
    </cfRule>
    <cfRule type="cellIs" dxfId="5" priority="5" operator="lessThan">
      <formula>8</formula>
    </cfRule>
  </conditionalFormatting>
  <conditionalFormatting sqref="I7">
    <cfRule type="cellIs" dxfId="4" priority="6" operator="lessThan">
      <formula>40</formula>
    </cfRule>
    <cfRule type="cellIs" dxfId="3" priority="7" operator="greaterThan">
      <formula>39.999999</formula>
    </cfRule>
  </conditionalFormatting>
  <conditionalFormatting sqref="K2:K6">
    <cfRule type="cellIs" dxfId="2" priority="1" operator="equal">
      <formula>"-"</formula>
    </cfRule>
    <cfRule type="cellIs" dxfId="1" priority="2" operator="greaterThan">
      <formula>0.1</formula>
    </cfRule>
    <cfRule type="cellIs" dxfId="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2026-03-13T10:53:25Z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