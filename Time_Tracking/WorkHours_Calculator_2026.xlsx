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140F2CE2-22D6-4455-8237-9B49DD9B5807}" xr6:coauthVersionLast="47" xr6:coauthVersionMax="47" xr10:uidLastSave="{00000000-0000-0000-0000-000000000000}"/>
  <bookViews>
    <workbookView xWindow="3435" yWindow="780" windowWidth="30285" windowHeight="15345" xr2:uid="{F0FEE646-CA9E-4872-A8E1-626BBC6FFE10}"/>
  </bookViews>
  <sheets>
    <sheet name="20260907" sheetId="36" r:id="rId1"/>
    <sheet name="20260831" sheetId="35" state="hidden" r:id="rId2"/>
    <sheet name="20260824" sheetId="34" state="hidden" r:id="rId3"/>
    <sheet name="20260817" sheetId="33" state="hidden" r:id="rId4"/>
    <sheet name="20260810" sheetId="32" state="hidden" r:id="rId5"/>
    <sheet name="20260803" sheetId="31" state="hidden" r:id="rId6"/>
    <sheet name="20260727" sheetId="30" state="hidden" r:id="rId7"/>
    <sheet name="20260720" sheetId="29" state="hidden" r:id="rId8"/>
    <sheet name="20260713" sheetId="28" state="hidden" r:id="rId9"/>
    <sheet name="20260706" sheetId="27" state="hidden" r:id="rId10"/>
    <sheet name="20260629" sheetId="26" state="hidden" r:id="rId11"/>
    <sheet name="20260622" sheetId="25" state="hidden" r:id="rId12"/>
    <sheet name="20260615" sheetId="24" state="hidden" r:id="rId13"/>
    <sheet name="20260608" sheetId="23" state="hidden" r:id="rId14"/>
    <sheet name="20260601" sheetId="22" state="hidden" r:id="rId15"/>
    <sheet name="20260525" sheetId="21" state="hidden" r:id="rId16"/>
    <sheet name="20260518" sheetId="20" state="hidden" r:id="rId17"/>
    <sheet name="20260511" sheetId="19" state="hidden" r:id="rId18"/>
    <sheet name="20260504" sheetId="18" state="hidden" r:id="rId19"/>
    <sheet name="20260427" sheetId="17" state="hidden" r:id="rId20"/>
    <sheet name="20260420" sheetId="16" state="hidden" r:id="rId21"/>
    <sheet name="20260413" sheetId="15" state="hidden" r:id="rId22"/>
    <sheet name="20260408" sheetId="14" state="hidden" r:id="rId23"/>
    <sheet name="20260330" sheetId="13" state="hidden" r:id="rId24"/>
    <sheet name="20260323" sheetId="12" state="hidden" r:id="rId25"/>
    <sheet name="20260316" sheetId="11" state="hidden" r:id="rId26"/>
    <sheet name="20260309" sheetId="10" state="hidden" r:id="rId27"/>
    <sheet name="20260302" sheetId="9" state="hidden" r:id="rId28"/>
    <sheet name="20260223" sheetId="8" state="hidden" r:id="rId29"/>
    <sheet name="20260216" sheetId="7" state="hidden" r:id="rId30"/>
    <sheet name="20260209" sheetId="6" state="hidden" r:id="rId31"/>
    <sheet name="20260202" sheetId="5" state="hidden" r:id="rId32"/>
    <sheet name="20260126" sheetId="4" state="hidden" r:id="rId33"/>
    <sheet name="20260119" sheetId="3" state="hidden" r:id="rId34"/>
    <sheet name="20260112" sheetId="2" state="hidden" r:id="rId35"/>
    <sheet name="20260105" sheetId="1" state="hidden" r:id="rId3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36" l="1"/>
  <c r="L6" i="36"/>
  <c r="K6" i="36"/>
  <c r="I6" i="36"/>
  <c r="H6" i="36"/>
  <c r="K5" i="36"/>
  <c r="I5" i="36"/>
  <c r="H5" i="36"/>
  <c r="J5" i="36" s="1"/>
  <c r="L5" i="36" s="1"/>
  <c r="F5" i="36"/>
  <c r="K4" i="36"/>
  <c r="I4" i="36"/>
  <c r="H4" i="36"/>
  <c r="J4" i="36" s="1"/>
  <c r="L4" i="36" s="1"/>
  <c r="F4" i="36"/>
  <c r="K3" i="36"/>
  <c r="I3" i="36"/>
  <c r="J3" i="36" s="1"/>
  <c r="L3" i="36" s="1"/>
  <c r="H3" i="36"/>
  <c r="F3" i="36"/>
  <c r="K2" i="36"/>
  <c r="I2" i="36"/>
  <c r="H2" i="36"/>
  <c r="J2" i="36" s="1"/>
  <c r="F2" i="36"/>
  <c r="A1" i="36" a="1"/>
  <c r="A1" i="36" s="1"/>
  <c r="I6" i="35"/>
  <c r="L6" i="35"/>
  <c r="K6" i="35"/>
  <c r="H6" i="35"/>
  <c r="J6" i="35" s="1"/>
  <c r="F6" i="35"/>
  <c r="K5" i="35"/>
  <c r="I5" i="35"/>
  <c r="H5" i="35"/>
  <c r="J5" i="35" s="1"/>
  <c r="L5" i="35" s="1"/>
  <c r="F5" i="35"/>
  <c r="K4" i="35"/>
  <c r="I4" i="35"/>
  <c r="H4" i="35"/>
  <c r="F4" i="35"/>
  <c r="K3" i="35"/>
  <c r="I3" i="35"/>
  <c r="H3" i="35"/>
  <c r="F3" i="35"/>
  <c r="K2" i="35"/>
  <c r="I2" i="35"/>
  <c r="H2" i="35"/>
  <c r="F2" i="35"/>
  <c r="A1" i="35" a="1"/>
  <c r="A1" i="35" s="1"/>
  <c r="F4" i="34"/>
  <c r="K6" i="34"/>
  <c r="I6" i="34"/>
  <c r="H6" i="34"/>
  <c r="F6" i="34"/>
  <c r="K5" i="34"/>
  <c r="I5" i="34"/>
  <c r="H5" i="34"/>
  <c r="F5" i="34"/>
  <c r="K4" i="34"/>
  <c r="I4" i="34"/>
  <c r="H4" i="34"/>
  <c r="K3" i="34"/>
  <c r="I3" i="34"/>
  <c r="H3" i="34"/>
  <c r="F3" i="34"/>
  <c r="K2" i="34"/>
  <c r="I2" i="34"/>
  <c r="J2" i="34" s="1"/>
  <c r="H2" i="34"/>
  <c r="F2" i="34"/>
  <c r="A1" i="34" a="1"/>
  <c r="A1" i="34" s="1"/>
  <c r="K6" i="33"/>
  <c r="I6" i="33"/>
  <c r="H6" i="33"/>
  <c r="F6" i="33"/>
  <c r="K5" i="33"/>
  <c r="I5" i="33"/>
  <c r="H5" i="33"/>
  <c r="F5" i="33"/>
  <c r="L4" i="33"/>
  <c r="K4" i="33"/>
  <c r="I4" i="33"/>
  <c r="H4" i="33"/>
  <c r="K3" i="33"/>
  <c r="I3" i="33"/>
  <c r="H3" i="33"/>
  <c r="F3" i="33"/>
  <c r="K2" i="33"/>
  <c r="I2" i="33"/>
  <c r="H2" i="33"/>
  <c r="J2" i="33" s="1"/>
  <c r="L2" i="33" s="1"/>
  <c r="F2" i="33"/>
  <c r="A1" i="33" a="1"/>
  <c r="A1" i="33" s="1"/>
  <c r="I5" i="30"/>
  <c r="L6" i="32"/>
  <c r="K6" i="32"/>
  <c r="J6" i="32"/>
  <c r="I6" i="32"/>
  <c r="H6" i="32"/>
  <c r="F6" i="32"/>
  <c r="L5" i="32"/>
  <c r="K5" i="32"/>
  <c r="I5" i="32"/>
  <c r="H5" i="32"/>
  <c r="J5" i="32" s="1"/>
  <c r="F5" i="32"/>
  <c r="L4" i="32"/>
  <c r="K4" i="32"/>
  <c r="I4" i="32"/>
  <c r="H4" i="32"/>
  <c r="F4" i="32"/>
  <c r="L3" i="32"/>
  <c r="K3" i="32"/>
  <c r="I3" i="32"/>
  <c r="H3" i="32"/>
  <c r="J3" i="32" s="1"/>
  <c r="F3" i="32"/>
  <c r="L2" i="32"/>
  <c r="K2" i="32"/>
  <c r="K7" i="32" s="1"/>
  <c r="J2" i="32"/>
  <c r="I2" i="32"/>
  <c r="H2" i="32"/>
  <c r="F2" i="32"/>
  <c r="A1" i="32" a="1"/>
  <c r="A1" i="32" s="1"/>
  <c r="L6" i="31"/>
  <c r="K6" i="31"/>
  <c r="I6" i="31"/>
  <c r="H6" i="31"/>
  <c r="F6" i="31"/>
  <c r="L5" i="31"/>
  <c r="K5" i="31"/>
  <c r="I5" i="31"/>
  <c r="H5" i="31"/>
  <c r="F5" i="31"/>
  <c r="K4" i="31"/>
  <c r="I4" i="31"/>
  <c r="H4" i="31"/>
  <c r="F4" i="31"/>
  <c r="K3" i="31"/>
  <c r="I3" i="31"/>
  <c r="H3" i="31"/>
  <c r="F3" i="31"/>
  <c r="K2" i="31"/>
  <c r="K7" i="31" s="1"/>
  <c r="I2" i="31"/>
  <c r="H2" i="31"/>
  <c r="F2" i="31"/>
  <c r="A1" i="31" a="1"/>
  <c r="A1" i="31" s="1"/>
  <c r="A4" i="31" s="1"/>
  <c r="L6" i="30"/>
  <c r="K6" i="30"/>
  <c r="I6" i="30"/>
  <c r="H6" i="30"/>
  <c r="F6" i="30"/>
  <c r="L5" i="30"/>
  <c r="K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6" i="36" l="1"/>
  <c r="J7" i="36" s="1"/>
  <c r="K7" i="36"/>
  <c r="A4" i="36"/>
  <c r="A6" i="36"/>
  <c r="A2" i="36"/>
  <c r="A5" i="36"/>
  <c r="A3" i="36"/>
  <c r="L2" i="36"/>
  <c r="L7" i="36" s="1"/>
  <c r="J4" i="35"/>
  <c r="L4" i="35" s="1"/>
  <c r="J3" i="35"/>
  <c r="L3" i="35" s="1"/>
  <c r="J2" i="35"/>
  <c r="L2" i="35" s="1"/>
  <c r="J6" i="34"/>
  <c r="L6" i="34" s="1"/>
  <c r="K7" i="35"/>
  <c r="A3" i="35"/>
  <c r="A4" i="35"/>
  <c r="A2" i="35"/>
  <c r="A5" i="35"/>
  <c r="A6" i="35"/>
  <c r="L7" i="35"/>
  <c r="J7" i="35"/>
  <c r="J3" i="34"/>
  <c r="L3" i="34" s="1"/>
  <c r="K7" i="34"/>
  <c r="J4" i="34"/>
  <c r="L4" i="34" s="1"/>
  <c r="J5" i="34"/>
  <c r="L5" i="34" s="1"/>
  <c r="A4" i="34"/>
  <c r="A2" i="34"/>
  <c r="A5" i="34"/>
  <c r="A3" i="34"/>
  <c r="A6" i="34"/>
  <c r="L2" i="34"/>
  <c r="J6" i="33"/>
  <c r="L6" i="33" s="1"/>
  <c r="J4" i="33"/>
  <c r="J5" i="33"/>
  <c r="L5" i="33" s="1"/>
  <c r="K7" i="33"/>
  <c r="J3" i="33"/>
  <c r="L3" i="33" s="1"/>
  <c r="A3" i="33"/>
  <c r="A4" i="33"/>
  <c r="A2" i="33"/>
  <c r="A5" i="33"/>
  <c r="A6" i="33"/>
  <c r="J3" i="31"/>
  <c r="L3" i="31" s="1"/>
  <c r="J4" i="32"/>
  <c r="J7" i="32" s="1"/>
  <c r="J10" i="32" s="1"/>
  <c r="L7" i="32"/>
  <c r="A4" i="32"/>
  <c r="A2" i="32"/>
  <c r="A6" i="32"/>
  <c r="A5" i="32"/>
  <c r="A3" i="32"/>
  <c r="J5" i="31"/>
  <c r="J6" i="31"/>
  <c r="J2" i="31"/>
  <c r="L2" i="31" s="1"/>
  <c r="J4" i="31"/>
  <c r="L4" i="31" s="1"/>
  <c r="A6" i="31"/>
  <c r="A3" i="31"/>
  <c r="A5" i="31"/>
  <c r="A2" i="31"/>
  <c r="J5" i="30"/>
  <c r="J6" i="30"/>
  <c r="J3" i="30"/>
  <c r="L3" i="30" s="1"/>
  <c r="J2" i="30"/>
  <c r="L2" i="30" s="1"/>
  <c r="K7" i="30"/>
  <c r="J4" i="30"/>
  <c r="L4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36" l="1"/>
  <c r="J9" i="36"/>
  <c r="J10" i="35"/>
  <c r="J9" i="35"/>
  <c r="J7" i="34"/>
  <c r="J10" i="34" s="1"/>
  <c r="L7" i="34"/>
  <c r="L7" i="33"/>
  <c r="J7" i="33"/>
  <c r="J10" i="33" s="1"/>
  <c r="J9" i="32"/>
  <c r="L7" i="31"/>
  <c r="J7" i="31"/>
  <c r="J10" i="31" s="1"/>
  <c r="L7" i="30"/>
  <c r="J7" i="30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34" l="1"/>
  <c r="J9" i="33"/>
  <c r="J9" i="31"/>
  <c r="J10" i="30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<sst xmlns="http://schemas.openxmlformats.org/spreadsheetml/2006/main" count="492" uniqueCount="25">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</sst>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36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CE4F4-4177-4ECC-BBBB-6DD7A08CB273}">
  <dimension ref="A1:M25"/>
  <sheetViews>
    <sheetView tabSelected="1" zoomScale="85" zoomScaleNormal="85" workbookViewId="0">
      <selection activeCell="B3" sqref="B3"/>
    </sheetView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09/07/2026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(7th)</v>
      </c>
      <c r="B2" s="27"/>
      <c r="C2" s="27"/>
      <c r="D2" s="27"/>
      <c r="E2" s="27"/>
      <c r="F2" s="30">
        <f>IF(G2 &gt;= 8, 4 + COUNT(B2:E2), IF(AND(G2 &gt;= 4, G2 &lt;= 7), 2 + COUNT(B2:E2), COUNT(B2:E2)))</f>
        <v>4</v>
      </c>
      <c r="G2" s="28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(8th)</v>
      </c>
      <c r="B3" s="8"/>
      <c r="C3" s="8"/>
      <c r="D3" s="8"/>
      <c r="E3" s="8"/>
      <c r="F3" s="30">
        <f t="shared" ref="F3:F6" si="0">IF(G3 &gt;= 8, 4 + COUNT(B3:E3), IF(AND(G3 &gt;= 4, G3 &lt;= 7), 2 + COUNT(B3:E3), COUNT(B3:E3)))</f>
        <v>0</v>
      </c>
      <c r="G3" s="28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(9th)</v>
      </c>
      <c r="B4" s="8"/>
      <c r="C4" s="8"/>
      <c r="D4" s="8"/>
      <c r="E4" s="8"/>
      <c r="F4" s="30">
        <f>IF(G4 &gt;= 8, 4 + COUNT(B4:E4), IF(AND(G4 &gt;= 4, G4 &lt;= 7), 2 + COUNT(B4:E4), COUNT(B4:E4)))</f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(10th)</v>
      </c>
      <c r="B5" s="8"/>
      <c r="C5" s="8"/>
      <c r="D5" s="8"/>
      <c r="E5" s="8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(11th)</v>
      </c>
      <c r="B6" s="8"/>
      <c r="C6" s="8"/>
      <c r="D6" s="8"/>
      <c r="E6" s="8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8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32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" priority="3" operator="greaterThan">
      <formula>3</formula>
    </cfRule>
    <cfRule type="cellIs" dxfId="9" priority="4" operator="lessThan">
      <formula>4</formula>
    </cfRule>
  </conditionalFormatting>
  <conditionalFormatting sqref="J2:J6">
    <cfRule type="cellIs" dxfId="8" priority="8" operator="greaterThan">
      <formula>7.99999999</formula>
    </cfRule>
    <cfRule type="cellIs" dxfId="7" priority="9" operator="lessThan">
      <formula>8</formula>
    </cfRule>
  </conditionalFormatting>
  <conditionalFormatting sqref="J7">
    <cfRule type="cellIs" dxfId="6" priority="10" operator="lessThan">
      <formula>40</formula>
    </cfRule>
    <cfRule type="cellIs" dxfId="5" priority="11" operator="greaterThan">
      <formula>39.999999</formula>
    </cfRule>
  </conditionalFormatting>
  <conditionalFormatting sqref="K7">
    <cfRule type="cellIs" dxfId="4" priority="1" operator="greaterThan">
      <formula>0</formula>
    </cfRule>
    <cfRule type="cellIs" dxfId="3" priority="2" operator="lessThan">
      <formula>0</formula>
    </cfRule>
  </conditionalFormatting>
  <conditionalFormatting sqref="L2:L6">
    <cfRule type="cellIs" dxfId="2" priority="5" operator="equal">
      <formula>"-"</formula>
    </cfRule>
    <cfRule type="cellIs" dxfId="1" priority="6" operator="greaterThan">
      <formula>0.1</formula>
    </cfRule>
    <cfRule type="cellIs" dxfId="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E5BB9-8062-4382-A731-FC67616139D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08/31/2026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(31st)</v>
      </c>
      <c r="B2" s="8">
        <v>0.28819444444444442</v>
      </c>
      <c r="C2" s="8">
        <v>0.52708333333333335</v>
      </c>
      <c r="D2" s="8">
        <v>0.55694444444444446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5.7333333333333343</v>
      </c>
      <c r="I2" s="11">
        <f>SUM(E2 - D2) * 24</f>
        <v>2.633333333333332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(1st)</v>
      </c>
      <c r="B3" s="8">
        <v>0.28819444444444442</v>
      </c>
      <c r="C3" s="8">
        <v>0.54305555555555551</v>
      </c>
      <c r="D3" s="8">
        <v>0.57291666666666663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6.1166666666666663</v>
      </c>
      <c r="I3" s="11">
        <f>SUM(E3 - D3) * 24</f>
        <v>2.25</v>
      </c>
      <c r="J3" s="12">
        <f t="shared" ref="J3:J6" si="1">H3 + I3 + G3</f>
        <v>8.3666666666666671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(2nd)</v>
      </c>
      <c r="B4" s="8">
        <v>0.28819444444444442</v>
      </c>
      <c r="C4" s="8">
        <v>0.51736111111111116</v>
      </c>
      <c r="D4" s="8">
        <v>0.54861111111111116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5.5000000000000018</v>
      </c>
      <c r="I4" s="11">
        <f t="shared" ref="I4:I6" si="3">SUM(E4 - D4) * 24</f>
        <v>2.8333333333333313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(3rd)</v>
      </c>
      <c r="B5" s="8">
        <v>0.28819444444444442</v>
      </c>
      <c r="C5" s="8">
        <v>0.52708333333333335</v>
      </c>
      <c r="D5" s="8">
        <v>0.55763888888888891</v>
      </c>
      <c r="E5" s="8">
        <v>0.66666666666666663</v>
      </c>
      <c r="F5" s="30">
        <f t="shared" si="0"/>
        <v>4</v>
      </c>
      <c r="G5" s="28"/>
      <c r="H5" s="10">
        <f t="shared" si="2"/>
        <v>5.7333333333333343</v>
      </c>
      <c r="I5" s="11">
        <f t="shared" si="3"/>
        <v>2.6166666666666654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(4th)</v>
      </c>
      <c r="B6" s="8">
        <v>0.28819444444444442</v>
      </c>
      <c r="C6" s="27"/>
      <c r="D6" s="27"/>
      <c r="E6" s="8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41.5</v>
      </c>
      <c r="K7" s="25">
        <f>IF(SUM(K2:K6) &lt;&gt; 0, ((60*5) - SUM(K2:K6)) / 60, 0)</f>
        <v>2.0833333333333335</v>
      </c>
      <c r="L7" s="34">
        <f>IF(SUM(L2:L6) &lt;&gt; 0, (SUM(L2:L6)/ 60), 0) * -1</f>
        <v>1.4833333333333329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</v>
      </c>
      <c r="K9" s="26"/>
    </row>
    <row r="10" spans="1:13" ht="24" thickBot="1" x14ac:dyDescent="0.4">
      <c r="I10" s="32" t="s">
        <v>21</v>
      </c>
      <c r="J10" s="25">
        <f>IF(J7 &lt; 40, "-", J7-40)</f>
        <v>1.5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5" priority="3" operator="greaterThan">
      <formula>3</formula>
    </cfRule>
    <cfRule type="cellIs" dxfId="364" priority="4" operator="lessThan">
      <formula>4</formula>
    </cfRule>
  </conditionalFormatting>
  <conditionalFormatting sqref="J2:J6">
    <cfRule type="cellIs" dxfId="363" priority="8" operator="greaterThan">
      <formula>7.99999999</formula>
    </cfRule>
    <cfRule type="cellIs" dxfId="362" priority="9" operator="lessThan">
      <formula>8</formula>
    </cfRule>
  </conditionalFormatting>
  <conditionalFormatting sqref="J7">
    <cfRule type="cellIs" dxfId="361" priority="10" operator="lessThan">
      <formula>40</formula>
    </cfRule>
    <cfRule type="cellIs" dxfId="360" priority="11" operator="greaterThan">
      <formula>39.999999</formula>
    </cfRule>
  </conditionalFormatting>
  <conditionalFormatting sqref="K7">
    <cfRule type="cellIs" dxfId="359" priority="1" operator="greaterThan">
      <formula>0</formula>
    </cfRule>
    <cfRule type="cellIs" dxfId="358" priority="2" operator="lessThan">
      <formula>0</formula>
    </cfRule>
  </conditionalFormatting>
  <conditionalFormatting sqref="L2:L6">
    <cfRule type="cellIs" dxfId="357" priority="5" operator="equal">
      <formula>"-"</formula>
    </cfRule>
    <cfRule type="cellIs" dxfId="356" priority="6" operator="greaterThan">
      <formula>0.1</formula>
    </cfRule>
    <cfRule type="cellIs" dxfId="35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FE0DE-E855-4B79-85C0-6CD6FF74CBD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08/24/2026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(24th)</v>
      </c>
      <c r="B2" s="8">
        <v>0.28819444444444442</v>
      </c>
      <c r="C2" s="8">
        <v>0.50763888888888886</v>
      </c>
      <c r="D2" s="8">
        <v>0.53888888888888886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5.2666666666666666</v>
      </c>
      <c r="I2" s="11">
        <f>SUM(E2 - D2) * 24</f>
        <v>3.0666666666666664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(25th)</v>
      </c>
      <c r="B3" s="8">
        <v>0.28819444444444442</v>
      </c>
      <c r="C3" s="8">
        <v>0.49930555555555556</v>
      </c>
      <c r="D3" s="8">
        <v>0.53055555555555556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5.0666666666666673</v>
      </c>
      <c r="I3" s="11">
        <f>SUM(E3 - D3) * 24</f>
        <v>3.2666666666666657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(26th)</v>
      </c>
      <c r="B4" s="8">
        <v>0.28819444444444442</v>
      </c>
      <c r="C4" s="8">
        <v>0.5229166666666667</v>
      </c>
      <c r="D4" s="8">
        <v>0.5541666666666667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5.6333333333333346</v>
      </c>
      <c r="I4" s="11">
        <f t="shared" ref="I4:I6" si="3">SUM(E4 - D4) * 24</f>
        <v>2.6999999999999984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(27th)</v>
      </c>
      <c r="B5" s="8">
        <v>0.28819444444444442</v>
      </c>
      <c r="C5" s="8">
        <v>0.5131944444444444</v>
      </c>
      <c r="D5" s="8">
        <v>0.54374999999999996</v>
      </c>
      <c r="E5" s="8">
        <v>0.66666666666666663</v>
      </c>
      <c r="F5" s="30">
        <f t="shared" si="0"/>
        <v>4</v>
      </c>
      <c r="G5" s="28"/>
      <c r="H5" s="10">
        <f t="shared" si="2"/>
        <v>5.3999999999999995</v>
      </c>
      <c r="I5" s="11">
        <f t="shared" si="3"/>
        <v>2.95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(28th)</v>
      </c>
      <c r="B6" s="8">
        <v>0.28819444444444442</v>
      </c>
      <c r="C6" s="8">
        <v>0.51458333333333328</v>
      </c>
      <c r="D6" s="8">
        <v>0.54513888888888884</v>
      </c>
      <c r="E6" s="8">
        <v>0.71736111111111112</v>
      </c>
      <c r="F6" s="30">
        <f t="shared" si="0"/>
        <v>4</v>
      </c>
      <c r="G6" s="10"/>
      <c r="H6" s="10">
        <f>SUM(C6 - B6) * 24</f>
        <v>5.4333333333333327</v>
      </c>
      <c r="I6" s="11">
        <f t="shared" si="3"/>
        <v>4.1333333333333346</v>
      </c>
      <c r="J6" s="12">
        <f t="shared" si="1"/>
        <v>9.5666666666666664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-94.999999999999986</v>
      </c>
    </row>
    <row r="7" spans="1:13" ht="36.75" thickBot="1" x14ac:dyDescent="0.6">
      <c r="B7" s="19"/>
      <c r="I7" s="21" t="s">
        <v>10</v>
      </c>
      <c r="J7" s="22">
        <f>SUM(J2:J6)</f>
        <v>42.916666666666657</v>
      </c>
      <c r="K7" s="25">
        <f>IF(SUM(K2:K6) &lt;&gt; 0, ((60*5) - SUM(K2:K6)) / 60, 0)</f>
        <v>1.2833333333333334</v>
      </c>
      <c r="L7" s="34">
        <f>IF(SUM(L2:L6) &lt;&gt; 0, (SUM(L2:L6)/ 60), 0) * -1</f>
        <v>2.999999999999996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-2.9166666666666572</v>
      </c>
      <c r="K9" s="26"/>
    </row>
    <row r="10" spans="1:13" ht="24" thickBot="1" x14ac:dyDescent="0.4">
      <c r="I10" s="32" t="s">
        <v>21</v>
      </c>
      <c r="J10" s="25">
        <f>IF(J7 &lt; 40, "-", J7-40)</f>
        <v>2.9166666666666572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54" priority="3" operator="greaterThan">
      <formula>3</formula>
    </cfRule>
    <cfRule type="cellIs" dxfId="353" priority="4" operator="lessThan">
      <formula>4</formula>
    </cfRule>
  </conditionalFormatting>
  <conditionalFormatting sqref="J2:J6">
    <cfRule type="cellIs" dxfId="352" priority="8" operator="greaterThan">
      <formula>7.99999999</formula>
    </cfRule>
    <cfRule type="cellIs" dxfId="351" priority="9" operator="lessThan">
      <formula>8</formula>
    </cfRule>
  </conditionalFormatting>
  <conditionalFormatting sqref="J7">
    <cfRule type="cellIs" dxfId="350" priority="10" operator="lessThan">
      <formula>40</formula>
    </cfRule>
    <cfRule type="cellIs" dxfId="349" priority="11" operator="greaterThan">
      <formula>39.999999</formula>
    </cfRule>
  </conditionalFormatting>
  <conditionalFormatting sqref="K7">
    <cfRule type="cellIs" dxfId="348" priority="1" operator="greaterThan">
      <formula>0</formula>
    </cfRule>
    <cfRule type="cellIs" dxfId="347" priority="2" operator="lessThan">
      <formula>0</formula>
    </cfRule>
  </conditionalFormatting>
  <conditionalFormatting sqref="L2:L6">
    <cfRule type="cellIs" dxfId="346" priority="5" operator="equal">
      <formula>"-"</formula>
    </cfRule>
    <cfRule type="cellIs" dxfId="345" priority="6" operator="greaterThan">
      <formula>0.1</formula>
    </cfRule>
    <cfRule type="cellIs" dxfId="34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6A523-17A0-4C50-9CE8-8BC834C882EC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(17th)</v>
      </c>
      <c r="B2" s="8">
        <v>0.28819444444444442</v>
      </c>
      <c r="C2" s="8">
        <v>0.46388888888888891</v>
      </c>
      <c r="D2" s="8">
        <v>0.50138888888888888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4.2166666666666677</v>
      </c>
      <c r="I2" s="11">
        <f>SUM(E2 - D2) * 24</f>
        <v>3.9666666666666659</v>
      </c>
      <c r="J2" s="12">
        <f>H2 + I2 + G2</f>
        <v>8.1833333333333336</v>
      </c>
      <c r="K2" s="13">
        <f>IF(AND(C2 &lt;&gt; "", D2 &lt;&gt; ""), (SUM(D2 - C2) * 1440), " - ")</f>
        <v>53.999999999999972</v>
      </c>
      <c r="L2" s="14">
        <f>IF(AND((B2 &lt;&gt; ""), (C2 &lt;&gt; ""), (D2 &lt;&gt; ""), (E2 &lt;&gt; "")), IF((((8 - J2) * 60) + 1) &gt; 0, (((8 - J2) * 60) + 1), (((8 - J2) * 60) - 1)), "-")</f>
        <v>-12.000000000000014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(18th)</v>
      </c>
      <c r="B3" s="8">
        <v>0.28819444444444442</v>
      </c>
      <c r="C3" s="8">
        <v>0.53194444444444444</v>
      </c>
      <c r="D3" s="8">
        <v>0.56319444444444444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5.8500000000000005</v>
      </c>
      <c r="I3" s="11">
        <f>SUM(E3 - D3) * 24</f>
        <v>2.4833333333333325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(19th)</v>
      </c>
      <c r="B4" s="8">
        <v>0.5</v>
      </c>
      <c r="C4" s="27"/>
      <c r="D4" s="27"/>
      <c r="E4" s="8">
        <v>0.66666666666666663</v>
      </c>
      <c r="F4" s="30">
        <v>2</v>
      </c>
      <c r="G4" s="28">
        <v>4</v>
      </c>
      <c r="H4" s="10">
        <f t="shared" ref="H4:H5" si="2">SUM(C4 - B4) * 24</f>
        <v>-12</v>
      </c>
      <c r="I4" s="11">
        <f t="shared" ref="I4:I6" si="3">SUM(E4 - D4) * 24</f>
        <v>16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(20th)</v>
      </c>
      <c r="B5" s="8">
        <v>0.28819444444444442</v>
      </c>
      <c r="C5" s="8">
        <v>0.55347222222222225</v>
      </c>
      <c r="D5" s="8">
        <v>0.58333333333333337</v>
      </c>
      <c r="E5" s="8">
        <v>0.66666666666666663</v>
      </c>
      <c r="F5" s="30">
        <f t="shared" si="0"/>
        <v>4</v>
      </c>
      <c r="G5" s="28"/>
      <c r="H5" s="10">
        <f t="shared" si="2"/>
        <v>6.366666666666668</v>
      </c>
      <c r="I5" s="11">
        <f t="shared" si="3"/>
        <v>1.9999999999999982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(21st)</v>
      </c>
      <c r="B6" s="8">
        <v>0.28819444444444442</v>
      </c>
      <c r="C6" s="8">
        <v>0.54861111111111116</v>
      </c>
      <c r="D6" s="8">
        <v>0.57916666666666672</v>
      </c>
      <c r="E6" s="8">
        <v>0.66666666666666663</v>
      </c>
      <c r="F6" s="30">
        <f t="shared" si="0"/>
        <v>4</v>
      </c>
      <c r="G6" s="10"/>
      <c r="H6" s="10">
        <f>SUM(C6 - B6) * 24</f>
        <v>6.2500000000000018</v>
      </c>
      <c r="I6" s="11">
        <f t="shared" si="3"/>
        <v>2.0999999999999979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41.233333333333334</v>
      </c>
      <c r="K7" s="25">
        <f>IF(SUM(K2:K6) &lt;&gt; 0, ((60*5) - SUM(K2:K6)) / 60, 0)</f>
        <v>1.9000000000000006</v>
      </c>
      <c r="L7" s="34">
        <f>IF(SUM(L2:L6) &lt;&gt; 0, (SUM(L2:L6)/ 60), 0) * -1</f>
        <v>1.2999999999999992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-1.2333333333333343</v>
      </c>
      <c r="K9" s="26"/>
    </row>
    <row r="10" spans="1:13" ht="24" thickBot="1" x14ac:dyDescent="0.4">
      <c r="I10" s="32" t="s">
        <v>21</v>
      </c>
      <c r="J10" s="25">
        <f>IF(J7 &lt; 40, "-", J7-40)</f>
        <v>1.2333333333333343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43" priority="3" operator="greaterThan">
      <formula>3</formula>
    </cfRule>
    <cfRule type="cellIs" dxfId="342" priority="4" operator="lessThan">
      <formula>4</formula>
    </cfRule>
  </conditionalFormatting>
  <conditionalFormatting sqref="J2:J6">
    <cfRule type="cellIs" dxfId="341" priority="8" operator="greaterThan">
      <formula>7.99999999</formula>
    </cfRule>
    <cfRule type="cellIs" dxfId="340" priority="9" operator="lessThan">
      <formula>8</formula>
    </cfRule>
  </conditionalFormatting>
  <conditionalFormatting sqref="J7">
    <cfRule type="cellIs" dxfId="339" priority="10" operator="lessThan">
      <formula>40</formula>
    </cfRule>
    <cfRule type="cellIs" dxfId="338" priority="11" operator="greaterThan">
      <formula>39.999999</formula>
    </cfRule>
  </conditionalFormatting>
  <conditionalFormatting sqref="K7">
    <cfRule type="cellIs" dxfId="337" priority="1" operator="greaterThan">
      <formula>0</formula>
    </cfRule>
    <cfRule type="cellIs" dxfId="336" priority="2" operator="lessThan">
      <formula>0</formula>
    </cfRule>
  </conditionalFormatting>
  <conditionalFormatting sqref="L2:L6">
    <cfRule type="cellIs" dxfId="335" priority="5" operator="equal">
      <formula>"-"</formula>
    </cfRule>
    <cfRule type="cellIs" dxfId="334" priority="6" operator="greaterThan">
      <formula>0.1</formula>
    </cfRule>
    <cfRule type="cellIs" dxfId="33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5D9-F336-4072-952B-730FA495965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(10th)</v>
      </c>
      <c r="B2" s="8">
        <v>0.28819444444444442</v>
      </c>
      <c r="C2" s="27"/>
      <c r="D2" s="27"/>
      <c r="E2" s="9">
        <v>0.45833333333333331</v>
      </c>
      <c r="F2" s="30">
        <f>IF(G2 &gt;= 8, 4 + COUNT(B2:E2), IF(AND(G2 &gt;= 4, G2 &lt;= 7), 2 + COUNT(B2:E2), COUNT(B2:E2)))</f>
        <v>4</v>
      </c>
      <c r="G2" s="28">
        <v>4</v>
      </c>
      <c r="H2" s="10">
        <f>SUM(C2 - B2) * 24</f>
        <v>-6.9166666666666661</v>
      </c>
      <c r="I2" s="11">
        <f>SUM(E2 - D2) * 24</f>
        <v>11</v>
      </c>
      <c r="J2" s="12">
        <f>H2 + I2 + G2</f>
        <v>8.0833333333333339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(11th)</v>
      </c>
      <c r="B3" s="8">
        <v>0.28819444444444442</v>
      </c>
      <c r="C3" s="27"/>
      <c r="D3" s="27"/>
      <c r="E3" s="9">
        <v>0.45833333333333331</v>
      </c>
      <c r="F3" s="30">
        <f t="shared" ref="F3:F6" si="0">IF(G3 &gt;= 8, 4 + COUNT(B3:E3), IF(AND(G3 &gt;= 4, G3 &lt;= 7), 2 + COUNT(B3:E3), COUNT(B3:E3)))</f>
        <v>4</v>
      </c>
      <c r="G3" s="28">
        <v>4</v>
      </c>
      <c r="H3" s="10">
        <f>SUM(C3 - B3) * 24</f>
        <v>-6.9166666666666661</v>
      </c>
      <c r="I3" s="11">
        <f>SUM(E3 - D3) * 24</f>
        <v>11</v>
      </c>
      <c r="J3" s="12">
        <f t="shared" ref="J3:J6" si="1">H3 + I3 + G3</f>
        <v>8.0833333333333339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(12th)</v>
      </c>
      <c r="B4" s="27"/>
      <c r="C4" s="27"/>
      <c r="D4" s="27"/>
      <c r="E4" s="27"/>
      <c r="F4" s="30">
        <f t="shared" si="0"/>
        <v>4</v>
      </c>
      <c r="G4" s="28">
        <v>8</v>
      </c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(13th)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(14th)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40.333333333333336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-0.3333333333333357</v>
      </c>
      <c r="K9" s="26"/>
    </row>
    <row r="10" spans="1:13" ht="24" thickBot="1" x14ac:dyDescent="0.4">
      <c r="I10" s="32" t="s">
        <v>21</v>
      </c>
      <c r="J10" s="25">
        <f>IF(J7 &lt; 40, "-", J7-40)</f>
        <v>0.3333333333333357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32" priority="3" operator="greaterThan">
      <formula>3</formula>
    </cfRule>
    <cfRule type="cellIs" dxfId="331" priority="4" operator="lessThan">
      <formula>4</formula>
    </cfRule>
  </conditionalFormatting>
  <conditionalFormatting sqref="J2:J6">
    <cfRule type="cellIs" dxfId="330" priority="8" operator="greaterThan">
      <formula>7.99999999</formula>
    </cfRule>
    <cfRule type="cellIs" dxfId="329" priority="9" operator="lessThan">
      <formula>8</formula>
    </cfRule>
  </conditionalFormatting>
  <conditionalFormatting sqref="J7">
    <cfRule type="cellIs" dxfId="328" priority="10" operator="lessThan">
      <formula>40</formula>
    </cfRule>
    <cfRule type="cellIs" dxfId="327" priority="11" operator="greaterThan">
      <formula>39.999999</formula>
    </cfRule>
  </conditionalFormatting>
  <conditionalFormatting sqref="K7">
    <cfRule type="cellIs" dxfId="326" priority="1" operator="greaterThan">
      <formula>0</formula>
    </cfRule>
    <cfRule type="cellIs" dxfId="325" priority="2" operator="lessThan">
      <formula>0</formula>
    </cfRule>
  </conditionalFormatting>
  <conditionalFormatting sqref="L2:L6">
    <cfRule type="cellIs" dxfId="324" priority="5" operator="equal">
      <formula>"-"</formula>
    </cfRule>
    <cfRule type="cellIs" dxfId="323" priority="6" operator="greaterThan">
      <formula>0.1</formula>
    </cfRule>
    <cfRule type="cellIs" dxfId="32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5BDC-A24C-4A68-9554-63E3753A430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08/03/2026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(3rd)</v>
      </c>
      <c r="B2" s="8">
        <v>0.28819444444444442</v>
      </c>
      <c r="C2" s="8">
        <v>0.51388888888888884</v>
      </c>
      <c r="D2" s="8">
        <v>0.54513888888888884</v>
      </c>
      <c r="E2" s="9">
        <v>0.66736111111111107</v>
      </c>
      <c r="F2" s="30">
        <f>IF(G2 &gt;= 8, 4 + COUNT(B2:E2), IF(AND(G2 &gt;= 4, G2 &lt;= 7), 2 + COUNT(B2:E2), COUNT(B2:E2)))</f>
        <v>4</v>
      </c>
      <c r="G2" s="10"/>
      <c r="H2" s="10">
        <f>SUM(C2 - B2) * 24</f>
        <v>5.4166666666666661</v>
      </c>
      <c r="I2" s="11">
        <f>SUM(E2 - D2) * 24</f>
        <v>2.9333333333333336</v>
      </c>
      <c r="J2" s="12">
        <f>H2 + I2 + G2</f>
        <v>8.35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(4th)</v>
      </c>
      <c r="B3" s="8">
        <v>0.28819444444444442</v>
      </c>
      <c r="C3" s="8">
        <v>0.52430555555555558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5.6666666666666679</v>
      </c>
      <c r="I3" s="11">
        <f>SUM(E3 - D3) * 24</f>
        <v>2.7333333333333316</v>
      </c>
      <c r="J3" s="12">
        <f t="shared" ref="J3:J6" si="1">H3 + I3 + G3</f>
        <v>8.3999999999999986</v>
      </c>
      <c r="K3" s="13">
        <f>IF(AND(C3 &lt;&gt; "", D3 &lt;&gt; ""), (SUM(D3 - C3) * 1440), " - ")</f>
        <v>41.000000000000014</v>
      </c>
      <c r="L3" s="14">
        <f>IF(AND((B3 &lt;&gt; ""), (C3 &lt;&gt; ""), (D3 &lt;&gt; ""), (E3 &lt;&gt; "")), IF((((8 - J3) * 60) + 1) &gt; 0, (((8 - J3) * 60) + 1), (((8 - J3) * 60) - 1)), "-")</f>
        <v>-24.999999999999915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(5th)</v>
      </c>
      <c r="B4" s="8">
        <v>0.28819444444444442</v>
      </c>
      <c r="C4" s="8">
        <v>0.49444444444444446</v>
      </c>
      <c r="D4" s="8">
        <v>0.52430555555555558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4.9500000000000011</v>
      </c>
      <c r="I4" s="11">
        <f t="shared" ref="I4:I6" si="3">SUM(E4 - D4) * 24</f>
        <v>3.4166666666666652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(6th)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(7th)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41.283333333333339</v>
      </c>
      <c r="K7" s="25">
        <f>IF(SUM(K2:K6) &lt;&gt; 0, ((60*5) - SUM(K2:K6)) / 60, 0)</f>
        <v>2.8499999999999996</v>
      </c>
      <c r="L7" s="34">
        <f>IF(SUM(L2:L6) &lt;&gt; 0, (SUM(L2:L6)/ 60), 0) * -1</f>
        <v>1.1666666666666652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-1.2833333333333385</v>
      </c>
      <c r="K9" s="26"/>
    </row>
    <row r="10" spans="1:13" ht="24" thickBot="1" x14ac:dyDescent="0.4">
      <c r="I10" s="32" t="s">
        <v>21</v>
      </c>
      <c r="J10" s="25">
        <f>IF(J7 &lt; 40, "-", J7-40)</f>
        <v>1.2833333333333385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21" priority="3" operator="greaterThan">
      <formula>3</formula>
    </cfRule>
    <cfRule type="cellIs" dxfId="320" priority="4" operator="lessThan">
      <formula>4</formula>
    </cfRule>
  </conditionalFormatting>
  <conditionalFormatting sqref="J2:J6">
    <cfRule type="cellIs" dxfId="319" priority="8" operator="greaterThan">
      <formula>7.99999999</formula>
    </cfRule>
    <cfRule type="cellIs" dxfId="318" priority="9" operator="lessThan">
      <formula>8</formula>
    </cfRule>
  </conditionalFormatting>
  <conditionalFormatting sqref="J7">
    <cfRule type="cellIs" dxfId="317" priority="10" operator="lessThan">
      <formula>40</formula>
    </cfRule>
    <cfRule type="cellIs" dxfId="316" priority="11" operator="greaterThan">
      <formula>39.999999</formula>
    </cfRule>
  </conditionalFormatting>
  <conditionalFormatting sqref="K7">
    <cfRule type="cellIs" dxfId="315" priority="1" operator="greaterThan">
      <formula>0</formula>
    </cfRule>
    <cfRule type="cellIs" dxfId="314" priority="2" operator="lessThan">
      <formula>0</formula>
    </cfRule>
  </conditionalFormatting>
  <conditionalFormatting sqref="L2:L6">
    <cfRule type="cellIs" dxfId="313" priority="5" operator="equal">
      <formula>"-"</formula>
    </cfRule>
    <cfRule type="cellIs" dxfId="312" priority="6" operator="greaterThan">
      <formula>0.1</formula>
    </cfRule>
    <cfRule type="cellIs" dxfId="31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0.52083333333333337</v>
      </c>
      <c r="D2" s="8">
        <v>0.55000000000000004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5.5833333333333348</v>
      </c>
      <c r="I2" s="11">
        <f>SUM(E2 - D2) * 24</f>
        <v>2.799999999999998</v>
      </c>
      <c r="J2" s="12">
        <f>H2 + I2 + G2</f>
        <v>8.3833333333333329</v>
      </c>
      <c r="K2" s="13">
        <f>IF(AND(C2 &lt;&gt; "", D2 &lt;&gt; ""), (SUM(D2 - C2) * 1440), " - ")</f>
        <v>42.000000000000014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0.50208333333333333</v>
      </c>
      <c r="D3" s="8">
        <v>0.52986111111111112</v>
      </c>
      <c r="E3" s="9">
        <v>0.63541666666666663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5.1333333333333337</v>
      </c>
      <c r="I3" s="11">
        <f>SUM(E3 - D3) * 24</f>
        <v>2.5333333333333323</v>
      </c>
      <c r="J3" s="12">
        <f t="shared" ref="J3:J6" si="1">H3 + I3 + G3</f>
        <v>7.6666666666666661</v>
      </c>
      <c r="K3" s="13">
        <f>IF(AND(C3 &lt;&gt; "", D3 &lt;&gt; ""), (SUM(D3 - C3) * 1440), " - ")</f>
        <v>40.000000000000014</v>
      </c>
      <c r="L3" s="14">
        <f>IF(AND((B3 &lt;&gt; ""), (C3 &lt;&gt; ""), (D3 &lt;&gt; ""), (E3 &lt;&gt; "")), IF((((8 - J3) * 60) + 1) &gt; 0, (((8 - J3) * 60) + 1), (((8 - J3) * 60) - 1)), "-")</f>
        <v>21.000000000000036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0.4909722222222222</v>
      </c>
      <c r="D4" s="8">
        <v>0.52013888888888893</v>
      </c>
      <c r="E4" s="9">
        <v>0.54166666666666663</v>
      </c>
      <c r="F4" s="30">
        <f t="shared" si="0"/>
        <v>4</v>
      </c>
      <c r="G4" s="28">
        <v>3</v>
      </c>
      <c r="H4" s="10">
        <f t="shared" ref="H4:H5" si="2">SUM(C4 - B4) * 24</f>
        <v>4.8666666666666671</v>
      </c>
      <c r="I4" s="11">
        <f t="shared" ref="I4:I6" si="3">SUM(E4 - D4) * 24</f>
        <v>0.51666666666666483</v>
      </c>
      <c r="J4" s="12">
        <f t="shared" si="1"/>
        <v>8.3833333333333329</v>
      </c>
      <c r="K4" s="13">
        <f t="shared" ref="K4:K6" si="4">IF(AND(C4 &lt;&gt; "", D4 &lt;&gt; ""), (SUM(D4 - C4) * 1440), " - ")</f>
        <v>42.000000000000092</v>
      </c>
      <c r="L4" s="14">
        <f t="shared" ref="L4:L5" si="5">IF(AND((B4 &lt;&gt; ""), (C4 &lt;&gt; ""), (D4 &lt;&gt; ""), (E4 &lt;&gt; "")), IF((((8 - J4) * 60) + 1) &gt; 0, (((8 - J4) * 60) + 1), (((8 - J4) * 60) - 1)), "-")</f>
        <v>-23.999999999999972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40.6</v>
      </c>
      <c r="K7" s="25">
        <f>IF(SUM(K2:K6) &lt;&gt; 0, ((60*5) - SUM(K2:K6)) / 60, 0)</f>
        <v>2.9333333333333313</v>
      </c>
      <c r="L7" s="34">
        <f>IF(SUM(L2:L6) &lt;&gt; 0, (SUM(L2:L6)/ 60), 0) * -1</f>
        <v>0.44999999999999846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-0.60000000000000142</v>
      </c>
      <c r="K9" s="26"/>
    </row>
    <row r="10" spans="1:13" ht="24" thickBot="1" x14ac:dyDescent="0.4">
      <c r="I10" s="32" t="s">
        <v>21</v>
      </c>
      <c r="J10" s="25">
        <f>IF(J7 &lt; 40, "-", J7-40)</f>
        <v>0.60000000000000142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10" priority="3" operator="greaterThan">
      <formula>3</formula>
    </cfRule>
    <cfRule type="cellIs" dxfId="309" priority="4" operator="lessThan">
      <formula>4</formula>
    </cfRule>
  </conditionalFormatting>
  <conditionalFormatting sqref="J2:J6">
    <cfRule type="cellIs" dxfId="308" priority="8" operator="greaterThan">
      <formula>7.99999999</formula>
    </cfRule>
    <cfRule type="cellIs" dxfId="307" priority="9" operator="lessThan">
      <formula>8</formula>
    </cfRule>
  </conditionalFormatting>
  <conditionalFormatting sqref="J7">
    <cfRule type="cellIs" dxfId="306" priority="10" operator="lessThan">
      <formula>40</formula>
    </cfRule>
    <cfRule type="cellIs" dxfId="305" priority="11" operator="greaterThan">
      <formula>39.999999</formula>
    </cfRule>
  </conditionalFormatting>
  <conditionalFormatting sqref="K7">
    <cfRule type="cellIs" dxfId="304" priority="1" operator="greaterThan">
      <formula>0</formula>
    </cfRule>
    <cfRule type="cellIs" dxfId="303" priority="2" operator="lessThan">
      <formula>0</formula>
    </cfRule>
  </conditionalFormatting>
  <conditionalFormatting sqref="L2:L6">
    <cfRule type="cellIs" dxfId="302" priority="5" operator="equal">
      <formula>"-"</formula>
    </cfRule>
    <cfRule type="cellIs" dxfId="301" priority="6" operator="greaterThan">
      <formula>0.1</formula>
    </cfRule>
    <cfRule type="cellIs" dxfId="30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1" operator="greaterThan">
      <formula>3</formula>
    </cfRule>
    <cfRule type="cellIs" dxfId="100" priority="2" operator="lessThan">
      <formula>4</formula>
    </cfRule>
  </conditionalFormatting>
  <conditionalFormatting sqref="J2:J6">
    <cfRule type="cellIs" dxfId="99" priority="6" operator="greaterThan">
      <formula>7.99999999</formula>
    </cfRule>
    <cfRule type="cellIs" dxfId="98" priority="7" operator="lessThan">
      <formula>8</formula>
    </cfRule>
  </conditionalFormatting>
  <conditionalFormatting sqref="J7">
    <cfRule type="cellIs" dxfId="97" priority="8" operator="lessThan">
      <formula>40</formula>
    </cfRule>
    <cfRule type="cellIs" dxfId="96" priority="9" operator="greaterThan">
      <formula>39.999999</formula>
    </cfRule>
  </conditionalFormatting>
  <conditionalFormatting sqref="L2:L6">
    <cfRule type="cellIs" dxfId="95" priority="3" operator="equal">
      <formula>"-"</formula>
    </cfRule>
    <cfRule type="cellIs" dxfId="94" priority="4" operator="greaterThan">
      <formula>0.1</formula>
    </cfRule>
    <cfRule type="cellIs" dxfId="9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2" priority="1" operator="greaterThan">
      <formula>3</formula>
    </cfRule>
    <cfRule type="cellIs" dxfId="91" priority="2" operator="lessThan">
      <formula>4</formula>
    </cfRule>
  </conditionalFormatting>
  <conditionalFormatting sqref="J2:J6">
    <cfRule type="cellIs" dxfId="90" priority="6" operator="greaterThan">
      <formula>7.99999999</formula>
    </cfRule>
    <cfRule type="cellIs" dxfId="89" priority="7" operator="lessThan">
      <formula>8</formula>
    </cfRule>
  </conditionalFormatting>
  <conditionalFormatting sqref="J7">
    <cfRule type="cellIs" dxfId="88" priority="8" operator="lessThan">
      <formula>40</formula>
    </cfRule>
    <cfRule type="cellIs" dxfId="87" priority="9" operator="greaterThan">
      <formula>39.999999</formula>
    </cfRule>
  </conditionalFormatting>
  <conditionalFormatting sqref="L2:L6">
    <cfRule type="cellIs" dxfId="86" priority="3" operator="equal">
      <formula>"-"</formula>
    </cfRule>
    <cfRule type="cellIs" dxfId="85" priority="4" operator="greaterThan">
      <formula>0.1</formula>
    </cfRule>
    <cfRule type="cellIs" dxfId="8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3" priority="1" operator="greaterThan">
      <formula>3</formula>
    </cfRule>
    <cfRule type="cellIs" dxfId="82" priority="2" operator="lessThan">
      <formula>4</formula>
    </cfRule>
  </conditionalFormatting>
  <conditionalFormatting sqref="J2:J6">
    <cfRule type="cellIs" dxfId="81" priority="6" operator="greaterThan">
      <formula>7.99999999</formula>
    </cfRule>
    <cfRule type="cellIs" dxfId="80" priority="7" operator="lessThan">
      <formula>8</formula>
    </cfRule>
  </conditionalFormatting>
  <conditionalFormatting sqref="J7">
    <cfRule type="cellIs" dxfId="79" priority="8" operator="lessThan">
      <formula>40</formula>
    </cfRule>
    <cfRule type="cellIs" dxfId="78" priority="9" operator="greaterThan">
      <formula>39.999999</formula>
    </cfRule>
  </conditionalFormatting>
  <conditionalFormatting sqref="L2:L6">
    <cfRule type="cellIs" dxfId="77" priority="3" operator="equal">
      <formula>"-"</formula>
    </cfRule>
    <cfRule type="cellIs" dxfId="76" priority="4" operator="greaterThan">
      <formula>0.1</formula>
    </cfRule>
    <cfRule type="cellIs" dxfId="7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4" priority="1" operator="greaterThan">
      <formula>3</formula>
    </cfRule>
    <cfRule type="cellIs" dxfId="73" priority="2" operator="lessThan">
      <formula>4</formula>
    </cfRule>
  </conditionalFormatting>
  <conditionalFormatting sqref="J2:J6">
    <cfRule type="cellIs" dxfId="72" priority="6" operator="greaterThan">
      <formula>7.99999999</formula>
    </cfRule>
    <cfRule type="cellIs" dxfId="71" priority="7" operator="lessThan">
      <formula>8</formula>
    </cfRule>
  </conditionalFormatting>
  <conditionalFormatting sqref="J7">
    <cfRule type="cellIs" dxfId="70" priority="8" operator="lessThan">
      <formula>40</formula>
    </cfRule>
    <cfRule type="cellIs" dxfId="69" priority="9" operator="greaterThan">
      <formula>39.999999</formula>
    </cfRule>
  </conditionalFormatting>
  <conditionalFormatting sqref="L2:L6">
    <cfRule type="cellIs" dxfId="68" priority="3" operator="equal">
      <formula>"-"</formula>
    </cfRule>
    <cfRule type="cellIs" dxfId="67" priority="4" operator="greaterThan">
      <formula>0.1</formula>
    </cfRule>
    <cfRule type="cellIs" dxfId="6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5" priority="1" operator="greaterThan">
      <formula>3</formula>
    </cfRule>
    <cfRule type="cellIs" dxfId="64" priority="2" operator="lessThan">
      <formula>4</formula>
    </cfRule>
  </conditionalFormatting>
  <conditionalFormatting sqref="J2:J6">
    <cfRule type="cellIs" dxfId="63" priority="6" operator="greaterThan">
      <formula>7.99999999</formula>
    </cfRule>
    <cfRule type="cellIs" dxfId="62" priority="7" operator="lessThan">
      <formula>8</formula>
    </cfRule>
  </conditionalFormatting>
  <conditionalFormatting sqref="J7">
    <cfRule type="cellIs" dxfId="61" priority="8" operator="lessThan">
      <formula>40</formula>
    </cfRule>
    <cfRule type="cellIs" dxfId="60" priority="9" operator="greaterThan">
      <formula>39.999999</formula>
    </cfRule>
  </conditionalFormatting>
  <conditionalFormatting sqref="L2:L6">
    <cfRule type="cellIs" dxfId="59" priority="3" operator="equal">
      <formula>"-"</formula>
    </cfRule>
    <cfRule type="cellIs" dxfId="58" priority="4" operator="greaterThan">
      <formula>0.1</formula>
    </cfRule>
    <cfRule type="cellIs" dxfId="5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6" priority="1" operator="greaterThan">
      <formula>3</formula>
    </cfRule>
    <cfRule type="cellIs" dxfId="55" priority="2" operator="lessThan">
      <formula>4</formula>
    </cfRule>
  </conditionalFormatting>
  <conditionalFormatting sqref="J2:J6">
    <cfRule type="cellIs" dxfId="54" priority="6" operator="greaterThan">
      <formula>7.99999999</formula>
    </cfRule>
    <cfRule type="cellIs" dxfId="53" priority="7" operator="lessThan">
      <formula>8</formula>
    </cfRule>
  </conditionalFormatting>
  <conditionalFormatting sqref="J7">
    <cfRule type="cellIs" dxfId="52" priority="8" operator="lessThan">
      <formula>40</formula>
    </cfRule>
    <cfRule type="cellIs" dxfId="51" priority="9" operator="greaterThan">
      <formula>39.999999</formula>
    </cfRule>
  </conditionalFormatting>
  <conditionalFormatting sqref="L2:L6">
    <cfRule type="cellIs" dxfId="50" priority="3" operator="equal">
      <formula>"-"</formula>
    </cfRule>
    <cfRule type="cellIs" dxfId="49" priority="4" operator="greaterThan">
      <formula>0.1</formula>
    </cfRule>
    <cfRule type="cellIs" dxfId="4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7" priority="1" operator="greaterThan">
      <formula>3</formula>
    </cfRule>
    <cfRule type="cellIs" dxfId="46" priority="2" operator="lessThan">
      <formula>4</formula>
    </cfRule>
  </conditionalFormatting>
  <conditionalFormatting sqref="J2:J6">
    <cfRule type="cellIs" dxfId="45" priority="6" operator="greaterThan">
      <formula>7.99999999</formula>
    </cfRule>
    <cfRule type="cellIs" dxfId="44" priority="7" operator="lessThan">
      <formula>8</formula>
    </cfRule>
  </conditionalFormatting>
  <conditionalFormatting sqref="J7">
    <cfRule type="cellIs" dxfId="43" priority="8" operator="lessThan">
      <formula>40</formula>
    </cfRule>
    <cfRule type="cellIs" dxfId="42" priority="9" operator="greaterThan">
      <formula>39.999999</formula>
    </cfRule>
  </conditionalFormatting>
  <conditionalFormatting sqref="L2:L6">
    <cfRule type="cellIs" dxfId="41" priority="3" operator="equal">
      <formula>"-"</formula>
    </cfRule>
    <cfRule type="cellIs" dxfId="40" priority="4" operator="greaterThan">
      <formula>0.1</formula>
    </cfRule>
    <cfRule type="cellIs" dxfId="39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38" priority="4" operator="greaterThan">
      <formula>7.99999999</formula>
    </cfRule>
    <cfRule type="cellIs" dxfId="37" priority="5" operator="lessThan">
      <formula>8</formula>
    </cfRule>
  </conditionalFormatting>
  <conditionalFormatting sqref="I7">
    <cfRule type="cellIs" dxfId="36" priority="6" operator="lessThan">
      <formula>40</formula>
    </cfRule>
    <cfRule type="cellIs" dxfId="35" priority="7" operator="greaterThan">
      <formula>39.999999</formula>
    </cfRule>
  </conditionalFormatting>
  <conditionalFormatting sqref="K2:K6">
    <cfRule type="cellIs" dxfId="34" priority="1" operator="equal">
      <formula>"-"</formula>
    </cfRule>
    <cfRule type="cellIs" dxfId="33" priority="2" operator="greaterThan">
      <formula>0.1</formula>
    </cfRule>
    <cfRule type="cellIs" dxfId="32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31" priority="4" operator="greaterThan">
      <formula>7.99999999</formula>
    </cfRule>
    <cfRule type="cellIs" dxfId="30" priority="5" operator="lessThan">
      <formula>8</formula>
    </cfRule>
  </conditionalFormatting>
  <conditionalFormatting sqref="I7">
    <cfRule type="cellIs" dxfId="29" priority="6" operator="lessThan">
      <formula>40</formula>
    </cfRule>
    <cfRule type="cellIs" dxfId="28" priority="7" operator="greaterThan">
      <formula>39.999999</formula>
    </cfRule>
  </conditionalFormatting>
  <conditionalFormatting sqref="K2:K6">
    <cfRule type="cellIs" dxfId="27" priority="1" operator="equal">
      <formula>"-"</formula>
    </cfRule>
    <cfRule type="cellIs" dxfId="26" priority="2" operator="greaterThan">
      <formula>0.1</formula>
    </cfRule>
    <cfRule type="cellIs" dxfId="25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4" priority="4" operator="greaterThan">
      <formula>7.99999999</formula>
    </cfRule>
    <cfRule type="cellIs" dxfId="23" priority="5" operator="lessThan">
      <formula>8</formula>
    </cfRule>
  </conditionalFormatting>
  <conditionalFormatting sqref="I7">
    <cfRule type="cellIs" dxfId="22" priority="6" operator="lessThan">
      <formula>40</formula>
    </cfRule>
    <cfRule type="cellIs" dxfId="21" priority="7" operator="greaterThan">
      <formula>39.999999</formula>
    </cfRule>
  </conditionalFormatting>
  <conditionalFormatting sqref="K2:K6">
    <cfRule type="cellIs" dxfId="20" priority="1" operator="equal">
      <formula>"-"</formula>
    </cfRule>
    <cfRule type="cellIs" dxfId="19" priority="2" operator="greaterThan">
      <formula>0.1</formula>
    </cfRule>
    <cfRule type="cellIs" dxfId="18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7" priority="4" operator="greaterThan">
      <formula>7.99999999</formula>
    </cfRule>
    <cfRule type="cellIs" dxfId="16" priority="5" operator="lessThan">
      <formula>8</formula>
    </cfRule>
  </conditionalFormatting>
  <conditionalFormatting sqref="I7">
    <cfRule type="cellIs" dxfId="15" priority="6" operator="lessThan">
      <formula>40</formula>
    </cfRule>
    <cfRule type="cellIs" dxfId="14" priority="7" operator="greaterThan">
      <formula>39.999999</formula>
    </cfRule>
  </conditionalFormatting>
  <conditionalFormatting sqref="K2:K6">
    <cfRule type="cellIs" dxfId="13" priority="1" operator="equal">
      <formula>"-"</formula>
    </cfRule>
    <cfRule type="cellIs" dxfId="12" priority="2" operator="greaterThan">
      <formula>0.1</formula>
    </cfRule>
    <cfRule type="cellIs" dxfId="1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20260907</vt:lpstr>
      <vt:lpstr>20260831</vt:lpstr>
      <vt:lpstr>20260824</vt:lpstr>
      <vt:lpstr>20260817</vt:lpstr>
      <vt:lpstr>20260810</vt:lpstr>
      <vt:lpstr>20260803</vt:lpstr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2026-09-03T17:26:57Z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