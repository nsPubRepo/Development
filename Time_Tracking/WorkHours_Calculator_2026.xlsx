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U:\Misc\Time_Tracking\"/>
    </mc:Choice>
  </mc:AlternateContent>
  <xr:revisionPtr revIDLastSave="0" documentId="13_ncr:1_{453B2842-F496-49B4-9E45-79AFCBD82596}" xr6:coauthVersionLast="47" xr6:coauthVersionMax="47" xr10:uidLastSave="{00000000-0000-0000-0000-000000000000}"/>
  <bookViews>
    <workbookView xWindow="4350" yWindow="1740" windowWidth="28800" windowHeight="15345" xr2:uid="{F0FEE646-CA9E-4872-A8E1-626BBC6FFE10}"/>
  </bookViews>
  <sheets>
    <sheet name="20260209" sheetId="6" r:id="rId1"/>
    <sheet name="20260202" sheetId="5" r:id="rId2"/>
    <sheet name="20260126" sheetId="4" state="hidden" r:id="rId3"/>
    <sheet name="20260119" sheetId="3" state="hidden" r:id="rId4"/>
    <sheet name="20260112" sheetId="2" state="hidden" r:id="rId5"/>
    <sheet name="20260105" sheetId="1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6" l="1"/>
  <c r="J6" i="6"/>
  <c r="H6" i="6"/>
  <c r="G6" i="6"/>
  <c r="J5" i="6"/>
  <c r="H5" i="6"/>
  <c r="G5" i="6"/>
  <c r="J4" i="6"/>
  <c r="H4" i="6"/>
  <c r="G4" i="6"/>
  <c r="I4" i="6" s="1"/>
  <c r="K4" i="6" s="1"/>
  <c r="J3" i="6"/>
  <c r="H3" i="6"/>
  <c r="G3" i="6"/>
  <c r="J2" i="6"/>
  <c r="H2" i="6"/>
  <c r="G2" i="6"/>
  <c r="A1" i="6" a="1"/>
  <c r="A1" i="6" s="1"/>
  <c r="K6" i="5"/>
  <c r="J6" i="5"/>
  <c r="H6" i="5"/>
  <c r="G6" i="5"/>
  <c r="J5" i="5"/>
  <c r="H5" i="5"/>
  <c r="G5" i="5"/>
  <c r="J4" i="5"/>
  <c r="H4" i="5"/>
  <c r="G4" i="5"/>
  <c r="J3" i="5"/>
  <c r="H3" i="5"/>
  <c r="G3" i="5"/>
  <c r="J2" i="5"/>
  <c r="H2" i="5"/>
  <c r="G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I2" i="6" l="1"/>
  <c r="K2" i="6" s="1"/>
  <c r="I6" i="6"/>
  <c r="I5" i="6"/>
  <c r="K5" i="6" s="1"/>
  <c r="I3" i="6"/>
  <c r="K3" i="6" s="1"/>
  <c r="A5" i="6"/>
  <c r="A3" i="6"/>
  <c r="A2" i="6"/>
  <c r="A4" i="6"/>
  <c r="A6" i="6"/>
  <c r="I6" i="5"/>
  <c r="I5" i="5"/>
  <c r="K5" i="5" s="1"/>
  <c r="I4" i="5"/>
  <c r="K4" i="5" s="1"/>
  <c r="I3" i="5"/>
  <c r="I2" i="5"/>
  <c r="K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I7" i="6" l="1"/>
  <c r="I9" i="6" s="1"/>
  <c r="I7" i="5"/>
  <c r="I9" i="5" s="1"/>
  <c r="K3" i="5"/>
  <c r="I7" i="4"/>
  <c r="I9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<sst xmlns="http://schemas.openxmlformats.org/spreadsheetml/2006/main" count="72" uniqueCount="12">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</sst>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4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L25"/>
  <sheetViews>
    <sheetView tabSelected="1" zoomScale="85" zoomScaleNormal="85" workbookViewId="0">
      <selection activeCell="C3" sqref="C3"/>
    </sheetView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10"/>
      <c r="G2" s="10">
        <f>SUM(C2 - B2) * 24</f>
        <v>5.0500000000000007</v>
      </c>
      <c r="H2" s="11">
        <f>SUM(E2 - D2) * 24</f>
        <v>3.2999999999999989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/>
      <c r="D3" s="8"/>
      <c r="E3" s="9">
        <v>0.66666666666666663</v>
      </c>
      <c r="F3" s="11"/>
      <c r="G3" s="10">
        <f>SUM(C3 - B3) * 24</f>
        <v>-6.9166666666666661</v>
      </c>
      <c r="H3" s="11">
        <f>SUM(E3 - D3) * 24</f>
        <v>16</v>
      </c>
      <c r="I3" s="12">
        <f t="shared" ref="I3:I6" si="0">G3 + H3 + F3</f>
        <v>9.0833333333333339</v>
      </c>
      <c r="J3" s="13" t="str">
        <f>IF(AND(C3 &lt;&gt; "", D3 &lt;&gt; ""), (SUM(D3 - C3) * 1440), " - ")</f>
        <v xml:space="preserve"> - </v>
      </c>
      <c r="K3" s="14" t="str">
        <f>IF(AND((B3 &lt;&gt; ""), (C3 &lt;&gt; ""), (D3 &lt;&gt; ""), (E3 &lt;&gt; "")), IF((((8 - I3) * 60) + 1) &gt; 0, (((8 - I3) * 60) + 1), (((8 - I3) * 60) - 1)), "-")</f>
        <v>-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/>
      <c r="C4" s="8"/>
      <c r="D4" s="8"/>
      <c r="E4" s="9"/>
      <c r="F4" s="17"/>
      <c r="G4" s="10">
        <f t="shared" ref="G4:G5" si="1">SUM(C4 - B4) * 24</f>
        <v>0</v>
      </c>
      <c r="H4" s="11">
        <f t="shared" ref="H4:H6" si="2">SUM(E4 - D4) * 24</f>
        <v>0</v>
      </c>
      <c r="I4" s="12">
        <f t="shared" si="0"/>
        <v>0</v>
      </c>
      <c r="J4" s="13" t="str">
        <f t="shared" ref="J4:J6" si="3">IF(AND(C4 &lt;&gt; "", D4 &lt;&gt; ""), (SUM(D4 - C4) * 1440), " - ")</f>
        <v xml:space="preserve"> - </v>
      </c>
      <c r="K4" s="14" t="str">
        <f t="shared" ref="K4:K5" si="4">IF(AND((B4 &lt;&gt; ""), (C4 &lt;&gt; ""), (D4 &lt;&gt; ""), (E4 &lt;&gt; "")), IF((((8 - I4) * 60) + 1) &gt; 0, (((8 - I4) * 60) + 1), (((8 - I4) * 60) - 1)), "-")</f>
        <v>-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/>
      <c r="C5" s="8"/>
      <c r="D5" s="8"/>
      <c r="E5" s="9"/>
      <c r="F5" s="17"/>
      <c r="G5" s="10">
        <f t="shared" si="1"/>
        <v>0</v>
      </c>
      <c r="H5" s="11">
        <f t="shared" si="2"/>
        <v>0</v>
      </c>
      <c r="I5" s="12">
        <f t="shared" si="0"/>
        <v>0</v>
      </c>
      <c r="J5" s="13" t="str">
        <f t="shared" si="3"/>
        <v xml:space="preserve"> - </v>
      </c>
      <c r="K5" s="14" t="str">
        <f t="shared" si="4"/>
        <v>-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/>
      <c r="C6" s="8"/>
      <c r="D6" s="8"/>
      <c r="E6" s="9"/>
      <c r="F6" s="11"/>
      <c r="G6" s="10">
        <f>SUM(C6 - B6) * 24</f>
        <v>0</v>
      </c>
      <c r="H6" s="11">
        <f t="shared" si="2"/>
        <v>0</v>
      </c>
      <c r="I6" s="12">
        <f t="shared" si="0"/>
        <v>0</v>
      </c>
      <c r="J6" s="13" t="str">
        <f t="shared" si="3"/>
        <v xml:space="preserve"> - </v>
      </c>
      <c r="K6" s="14" t="str">
        <f>IF(AND((B6 &lt;&gt; ""), (C6 &lt;&gt; ""), (D6 &lt;&gt; ""), (E6 &lt;&gt; "")), IF((((8 - I6) * 60) + 1) &gt; 0, (((8 - I6) * 60) + 1), (((8 - I6) * 60) - 1)), "-")</f>
        <v>-</v>
      </c>
    </row>
    <row r="7" spans="1:12" ht="36.75" thickBot="1" x14ac:dyDescent="0.6">
      <c r="B7" s="19"/>
      <c r="H7" s="21" t="s">
        <v>10</v>
      </c>
      <c r="I7" s="22">
        <f>SUM(I2:I6)</f>
        <v>17.433333333333334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22.566666666666666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41" priority="4" operator="greaterThan">
      <formula>7.99999999</formula>
    </cfRule>
    <cfRule type="cellIs" dxfId="40" priority="5" operator="lessThan">
      <formula>8</formula>
    </cfRule>
  </conditionalFormatting>
  <conditionalFormatting sqref="I7">
    <cfRule type="cellIs" dxfId="39" priority="6" operator="lessThan">
      <formula>40</formula>
    </cfRule>
    <cfRule type="cellIs" dxfId="38" priority="7" operator="greaterThan">
      <formula>39.999999</formula>
    </cfRule>
  </conditionalFormatting>
  <conditionalFormatting sqref="K2:K6">
    <cfRule type="cellIs" dxfId="37" priority="1" operator="equal">
      <formula>"-"</formula>
    </cfRule>
    <cfRule type="cellIs" dxfId="36" priority="2" operator="greaterThan">
      <formula>0.1</formula>
    </cfRule>
    <cfRule type="cellIs" dxfId="35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10"/>
      <c r="G2" s="10">
        <f>SUM(C2 - B2) * 24</f>
        <v>6.2166666666666686</v>
      </c>
      <c r="H2" s="11">
        <f>SUM(E2 - D2) * 24</f>
        <v>2.166666666666667</v>
      </c>
      <c r="I2" s="12">
        <f>G2 + H2 + F2</f>
        <v>8.3833333333333364</v>
      </c>
      <c r="J2" s="13">
        <f>IF(AND(C2 &lt;&gt; "", D2 &lt;&gt; ""), (SUM(D2 - C2) * 1440), " - ")</f>
        <v>41.999999999999851</v>
      </c>
      <c r="K2" s="14">
        <f>IF(AND((B2 &lt;&gt; ""), (C2 &lt;&gt; ""), (D2 &lt;&gt; ""), (E2 &lt;&gt; "")), IF((((8 - I2) * 60) + 1) &gt; 0, (((8 - I2) * 60) + 1), (((8 - I2) * 60) - 1)), "-")</f>
        <v>-24.000000000000185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11"/>
      <c r="G3" s="10">
        <f>SUM(C3 - B3) * 24</f>
        <v>6.35</v>
      </c>
      <c r="H3" s="11">
        <f>SUM(E3 - D3) * 24</f>
        <v>1.9166666666666652</v>
      </c>
      <c r="I3" s="12">
        <f t="shared" ref="I3:I6" si="0">G3 + H3 + F3</f>
        <v>8.2666666666666657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-16.999999999999943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17"/>
      <c r="G4" s="10">
        <f t="shared" ref="G4:G5" si="1">SUM(C4 - B4) * 24</f>
        <v>6.1999999999999993</v>
      </c>
      <c r="H4" s="11">
        <f t="shared" ref="H4:H6" si="2">SUM(E4 - D4) * 24</f>
        <v>2.1333333333333337</v>
      </c>
      <c r="I4" s="12">
        <f t="shared" si="0"/>
        <v>8.3333333333333321</v>
      </c>
      <c r="J4" s="13">
        <f t="shared" ref="J4:J6" si="3">IF(AND(C4 &lt;&gt; "", D4 &lt;&gt; ""), (SUM(D4 - C4) * 1440), " - ")</f>
        <v>45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17"/>
      <c r="G5" s="10">
        <f t="shared" si="1"/>
        <v>4.8166666666666664</v>
      </c>
      <c r="H5" s="11">
        <f t="shared" si="2"/>
        <v>3.549999999999998</v>
      </c>
      <c r="I5" s="12">
        <f t="shared" si="0"/>
        <v>8.3666666666666636</v>
      </c>
      <c r="J5" s="13">
        <f t="shared" si="3"/>
        <v>43.000000000000085</v>
      </c>
      <c r="K5" s="14">
        <f t="shared" si="4"/>
        <v>-22.999999999999815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11">
        <v>4</v>
      </c>
      <c r="G6" s="10">
        <f>SUM(C6 - B6) * 24</f>
        <v>-7</v>
      </c>
      <c r="H6" s="11">
        <f t="shared" si="2"/>
        <v>11</v>
      </c>
      <c r="I6" s="12">
        <f t="shared" si="0"/>
        <v>8</v>
      </c>
      <c r="J6" s="13" t="str">
        <f t="shared" si="3"/>
        <v xml:space="preserve"> - </v>
      </c>
      <c r="K6" s="14" t="str">
        <f>IF(AND((B6 &lt;&gt; ""), (C6 &lt;&gt; ""), (D6 &lt;&gt; ""), (E6 &lt;&gt; "")), IF((((8 - I6) * 60) + 1) &gt; 0, (((8 - I6) * 60) + 1), (((8 - I6) * 60) - 1)), "-")</f>
        <v>-</v>
      </c>
    </row>
    <row r="7" spans="1:12" ht="36.75" thickBot="1" x14ac:dyDescent="0.6">
      <c r="B7" s="19"/>
      <c r="H7" s="21" t="s">
        <v>10</v>
      </c>
      <c r="I7" s="22">
        <f>SUM(I2:I6)</f>
        <v>41.349999999999994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-1.3499999999999943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34" priority="4" operator="greaterThan">
      <formula>7.99999999</formula>
    </cfRule>
    <cfRule type="cellIs" dxfId="33" priority="5" operator="lessThan">
      <formula>8</formula>
    </cfRule>
  </conditionalFormatting>
  <conditionalFormatting sqref="I7">
    <cfRule type="cellIs" dxfId="32" priority="6" operator="lessThan">
      <formula>40</formula>
    </cfRule>
    <cfRule type="cellIs" dxfId="31" priority="7" operator="greaterThan">
      <formula>39.999999</formula>
    </cfRule>
  </conditionalFormatting>
  <conditionalFormatting sqref="K2:K6">
    <cfRule type="cellIs" dxfId="30" priority="1" operator="equal">
      <formula>"-"</formula>
    </cfRule>
    <cfRule type="cellIs" dxfId="29" priority="2" operator="greaterThan">
      <formula>0.1</formula>
    </cfRule>
    <cfRule type="cellIs" dxfId="28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2026-02-10T11:55:19Z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