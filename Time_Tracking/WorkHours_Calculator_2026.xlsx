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Git_Repositories\PubDev\Time_Tracking\"/>
    </mc:Choice>
  </mc:AlternateContent>
  <xr:revisionPtr revIDLastSave="0" documentId="13_ncr:1_{629C2528-037B-465F-931E-1829F9187684}" xr6:coauthVersionLast="47" xr6:coauthVersionMax="47" xr10:uidLastSave="{00000000-0000-0000-0000-000000000000}"/>
  <bookViews>
    <workbookView xWindow="3420" yWindow="555" windowWidth="28800" windowHeight="18735" xr2:uid="{F0FEE646-CA9E-4872-A8E1-626BBC6FFE10}"/>
  </bookViews>
  <sheets>
    <sheet name="20260504" sheetId="18" r:id="rId1"/>
    <sheet name="20260427" sheetId="17" state="hidden" r:id="rId2"/>
    <sheet name="20260420" sheetId="16" state="hidden" r:id="rId3"/>
    <sheet name="20260413" sheetId="15" state="hidden" r:id="rId4"/>
    <sheet name="20260408" sheetId="14" state="hidden" r:id="rId5"/>
    <sheet name="20260330" sheetId="13" state="hidden" r:id="rId6"/>
    <sheet name="20260323" sheetId="12" state="hidden" r:id="rId7"/>
    <sheet name="20260316" sheetId="11" state="hidden" r:id="rId8"/>
    <sheet name="20260309" sheetId="10" state="hidden" r:id="rId9"/>
    <sheet name="20260302" sheetId="9" state="hidden" r:id="rId10"/>
    <sheet name="20260223" sheetId="8" state="hidden" r:id="rId11"/>
    <sheet name="20260216" sheetId="7" state="hidden" r:id="rId12"/>
    <sheet name="20260209" sheetId="6" state="hidden" r:id="rId13"/>
    <sheet name="20260202" sheetId="5" state="hidden" r:id="rId14"/>
    <sheet name="20260126" sheetId="4" state="hidden" r:id="rId15"/>
    <sheet name="20260119" sheetId="3" state="hidden" r:id="rId16"/>
    <sheet name="20260112" sheetId="2" state="hidden" r:id="rId17"/>
    <sheet name="20260105" sheetId="1" state="hidden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18" l="1"/>
  <c r="I6" i="18"/>
  <c r="H6" i="18"/>
  <c r="F6" i="18"/>
  <c r="K5" i="18"/>
  <c r="I5" i="18"/>
  <c r="H5" i="18"/>
  <c r="J5" i="18" s="1"/>
  <c r="L5" i="18" s="1"/>
  <c r="F5" i="18"/>
  <c r="K4" i="18"/>
  <c r="I4" i="18"/>
  <c r="H4" i="18"/>
  <c r="J4" i="18" s="1"/>
  <c r="L4" i="18" s="1"/>
  <c r="F4" i="18"/>
  <c r="K3" i="18"/>
  <c r="I3" i="18"/>
  <c r="H3" i="18"/>
  <c r="F3" i="18"/>
  <c r="K2" i="18"/>
  <c r="I2" i="18"/>
  <c r="H2" i="18"/>
  <c r="F2" i="18"/>
  <c r="A1" i="18" a="1"/>
  <c r="A1" i="18" s="1"/>
  <c r="K6" i="17"/>
  <c r="I6" i="17"/>
  <c r="H6" i="17"/>
  <c r="F6" i="17"/>
  <c r="K5" i="17"/>
  <c r="I5" i="17"/>
  <c r="H5" i="17"/>
  <c r="F5" i="17"/>
  <c r="K4" i="17"/>
  <c r="I4" i="17"/>
  <c r="H4" i="17"/>
  <c r="F4" i="17"/>
  <c r="K3" i="17"/>
  <c r="I3" i="17"/>
  <c r="H3" i="17"/>
  <c r="F3" i="17"/>
  <c r="K2" i="17"/>
  <c r="I2" i="17"/>
  <c r="H2" i="17"/>
  <c r="F2" i="17"/>
  <c r="A1" i="17" a="1"/>
  <c r="A1" i="17" s="1"/>
  <c r="K6" i="16"/>
  <c r="I6" i="16"/>
  <c r="H6" i="16"/>
  <c r="F6" i="16"/>
  <c r="L5" i="16"/>
  <c r="K5" i="16"/>
  <c r="I5" i="16"/>
  <c r="H5" i="16"/>
  <c r="J5" i="16" s="1"/>
  <c r="F5" i="16"/>
  <c r="K4" i="16"/>
  <c r="I4" i="16"/>
  <c r="H4" i="16"/>
  <c r="F4" i="16"/>
  <c r="K3" i="16"/>
  <c r="I3" i="16"/>
  <c r="H3" i="16"/>
  <c r="J3" i="16" s="1"/>
  <c r="L3" i="16" s="1"/>
  <c r="F3" i="16"/>
  <c r="K2" i="16"/>
  <c r="I2" i="16"/>
  <c r="H2" i="16"/>
  <c r="F2" i="16"/>
  <c r="A1" i="16" a="1"/>
  <c r="A1" i="16" s="1"/>
  <c r="K6" i="15"/>
  <c r="I6" i="15"/>
  <c r="H6" i="15"/>
  <c r="J6" i="15" s="1"/>
  <c r="L6" i="15" s="1"/>
  <c r="F6" i="15"/>
  <c r="K5" i="15"/>
  <c r="I5" i="15"/>
  <c r="H5" i="15"/>
  <c r="J5" i="15" s="1"/>
  <c r="L5" i="15" s="1"/>
  <c r="F5" i="15"/>
  <c r="K4" i="15"/>
  <c r="I4" i="15"/>
  <c r="H4" i="15"/>
  <c r="F4" i="15"/>
  <c r="K3" i="15"/>
  <c r="I3" i="15"/>
  <c r="H3" i="15"/>
  <c r="F3" i="15"/>
  <c r="K2" i="15"/>
  <c r="I2" i="15"/>
  <c r="H2" i="15"/>
  <c r="F2" i="15"/>
  <c r="A1" i="15" a="1"/>
  <c r="A1" i="15" s="1"/>
  <c r="K6" i="14"/>
  <c r="I6" i="14"/>
  <c r="H6" i="14"/>
  <c r="F6" i="14"/>
  <c r="K5" i="14"/>
  <c r="I5" i="14"/>
  <c r="H5" i="14"/>
  <c r="J5" i="14" s="1"/>
  <c r="L5" i="14" s="1"/>
  <c r="F5" i="14"/>
  <c r="K4" i="14"/>
  <c r="I4" i="14"/>
  <c r="H4" i="14"/>
  <c r="F4" i="14"/>
  <c r="K3" i="14"/>
  <c r="I3" i="14"/>
  <c r="H3" i="14"/>
  <c r="F3" i="14"/>
  <c r="K2" i="14"/>
  <c r="I2" i="14"/>
  <c r="H2" i="14"/>
  <c r="F2" i="14"/>
  <c r="A1" i="14" a="1"/>
  <c r="A1" i="14" s="1"/>
  <c r="K7" i="12"/>
  <c r="K6" i="13"/>
  <c r="I6" i="13"/>
  <c r="H6" i="13"/>
  <c r="F6" i="13"/>
  <c r="K5" i="13"/>
  <c r="I5" i="13"/>
  <c r="H5" i="13"/>
  <c r="F5" i="13"/>
  <c r="K4" i="13"/>
  <c r="I4" i="13"/>
  <c r="H4" i="13"/>
  <c r="F4" i="13"/>
  <c r="K3" i="13"/>
  <c r="I3" i="13"/>
  <c r="H3" i="13"/>
  <c r="F3" i="13"/>
  <c r="K2" i="13"/>
  <c r="I2" i="13"/>
  <c r="H2" i="13"/>
  <c r="F2" i="13"/>
  <c r="A1" i="13" a="1"/>
  <c r="A1" i="13" s="1"/>
  <c r="K6" i="12"/>
  <c r="K7" i="10"/>
  <c r="K7" i="9"/>
  <c r="K7" i="11"/>
  <c r="I6" i="12"/>
  <c r="H6" i="12"/>
  <c r="J6" i="12" s="1"/>
  <c r="L6" i="12" s="1"/>
  <c r="F6" i="12"/>
  <c r="K5" i="12"/>
  <c r="I5" i="12"/>
  <c r="H5" i="12"/>
  <c r="J5" i="12" s="1"/>
  <c r="L5" i="12" s="1"/>
  <c r="F5" i="12"/>
  <c r="K4" i="12"/>
  <c r="I4" i="12"/>
  <c r="H4" i="12"/>
  <c r="F4" i="12"/>
  <c r="K3" i="12"/>
  <c r="I3" i="12"/>
  <c r="H3" i="12"/>
  <c r="J3" i="12" s="1"/>
  <c r="L3" i="12" s="1"/>
  <c r="F3" i="12"/>
  <c r="K2" i="12"/>
  <c r="I2" i="12"/>
  <c r="H2" i="12"/>
  <c r="F2" i="12"/>
  <c r="A1" i="12" a="1"/>
  <c r="A1" i="12" s="1"/>
  <c r="K6" i="11"/>
  <c r="I6" i="11"/>
  <c r="H6" i="11"/>
  <c r="J6" i="11" s="1"/>
  <c r="L6" i="11" s="1"/>
  <c r="F6" i="11"/>
  <c r="K5" i="11"/>
  <c r="I5" i="11"/>
  <c r="H5" i="11"/>
  <c r="J5" i="11" s="1"/>
  <c r="L5" i="11" s="1"/>
  <c r="F5" i="11"/>
  <c r="K4" i="11"/>
  <c r="I4" i="11"/>
  <c r="H4" i="11"/>
  <c r="F4" i="11"/>
  <c r="K3" i="11"/>
  <c r="I3" i="11"/>
  <c r="H3" i="11"/>
  <c r="F3" i="11"/>
  <c r="K2" i="11"/>
  <c r="I2" i="11"/>
  <c r="H2" i="11"/>
  <c r="J2" i="11" s="1"/>
  <c r="F2" i="11"/>
  <c r="A1" i="11" a="1"/>
  <c r="A1" i="11" s="1"/>
  <c r="K6" i="10"/>
  <c r="I6" i="10"/>
  <c r="H6" i="10"/>
  <c r="F6" i="10"/>
  <c r="K5" i="10"/>
  <c r="I5" i="10"/>
  <c r="H5" i="10"/>
  <c r="F5" i="10"/>
  <c r="K4" i="10"/>
  <c r="I4" i="10"/>
  <c r="H4" i="10"/>
  <c r="F4" i="10"/>
  <c r="K3" i="10"/>
  <c r="I3" i="10"/>
  <c r="H3" i="10"/>
  <c r="F3" i="10"/>
  <c r="K2" i="10"/>
  <c r="I2" i="10"/>
  <c r="H2" i="10"/>
  <c r="F2" i="10"/>
  <c r="A1" i="10" a="1"/>
  <c r="A1" i="10" s="1"/>
  <c r="F3" i="9"/>
  <c r="F4" i="9"/>
  <c r="F5" i="9"/>
  <c r="F6" i="9"/>
  <c r="F2" i="9"/>
  <c r="J2" i="18" l="1"/>
  <c r="K7" i="18"/>
  <c r="J3" i="18"/>
  <c r="L3" i="18" s="1"/>
  <c r="J6" i="18"/>
  <c r="L6" i="18" s="1"/>
  <c r="A4" i="18"/>
  <c r="A2" i="18"/>
  <c r="A5" i="18"/>
  <c r="A3" i="18"/>
  <c r="A6" i="18"/>
  <c r="J7" i="18"/>
  <c r="L2" i="18"/>
  <c r="J6" i="17"/>
  <c r="L6" i="17" s="1"/>
  <c r="J5" i="17"/>
  <c r="L5" i="17" s="1"/>
  <c r="J4" i="17"/>
  <c r="L4" i="17" s="1"/>
  <c r="J2" i="17"/>
  <c r="K7" i="17"/>
  <c r="J3" i="17"/>
  <c r="L3" i="17" s="1"/>
  <c r="L2" i="17"/>
  <c r="A4" i="17"/>
  <c r="A2" i="17"/>
  <c r="A5" i="17"/>
  <c r="A3" i="17"/>
  <c r="A6" i="17"/>
  <c r="J2" i="16"/>
  <c r="K7" i="16"/>
  <c r="J6" i="16"/>
  <c r="L6" i="16" s="1"/>
  <c r="J4" i="16"/>
  <c r="L4" i="16" s="1"/>
  <c r="L2" i="16"/>
  <c r="A4" i="16"/>
  <c r="A2" i="16"/>
  <c r="A5" i="16"/>
  <c r="A6" i="16"/>
  <c r="A3" i="16"/>
  <c r="J4" i="15"/>
  <c r="L4" i="15" s="1"/>
  <c r="J3" i="15"/>
  <c r="L3" i="15" s="1"/>
  <c r="J2" i="15"/>
  <c r="K7" i="15"/>
  <c r="A4" i="15"/>
  <c r="A2" i="15"/>
  <c r="A5" i="15"/>
  <c r="A3" i="15"/>
  <c r="A6" i="15"/>
  <c r="J7" i="15"/>
  <c r="L2" i="15"/>
  <c r="K7" i="14"/>
  <c r="J4" i="14"/>
  <c r="L4" i="14" s="1"/>
  <c r="J3" i="14"/>
  <c r="L3" i="14" s="1"/>
  <c r="J6" i="14"/>
  <c r="L6" i="14" s="1"/>
  <c r="J2" i="14"/>
  <c r="L2" i="14"/>
  <c r="A4" i="14"/>
  <c r="A2" i="14"/>
  <c r="A5" i="14"/>
  <c r="A3" i="14"/>
  <c r="A6" i="14"/>
  <c r="J6" i="13"/>
  <c r="L6" i="13" s="1"/>
  <c r="J5" i="13"/>
  <c r="L5" i="13" s="1"/>
  <c r="K7" i="13"/>
  <c r="J3" i="13"/>
  <c r="L3" i="13" s="1"/>
  <c r="J2" i="13"/>
  <c r="J4" i="13"/>
  <c r="L4" i="13" s="1"/>
  <c r="A4" i="13"/>
  <c r="A2" i="13"/>
  <c r="A3" i="13"/>
  <c r="A6" i="13"/>
  <c r="A5" i="13"/>
  <c r="J7" i="13"/>
  <c r="L2" i="13"/>
  <c r="J4" i="12"/>
  <c r="L4" i="12" s="1"/>
  <c r="J2" i="12"/>
  <c r="A2" i="12"/>
  <c r="A5" i="12"/>
  <c r="A3" i="12"/>
  <c r="A6" i="12"/>
  <c r="A4" i="12"/>
  <c r="J7" i="12"/>
  <c r="L2" i="12"/>
  <c r="J4" i="11"/>
  <c r="L4" i="11" s="1"/>
  <c r="J3" i="11"/>
  <c r="L3" i="11" s="1"/>
  <c r="L2" i="11"/>
  <c r="A5" i="11"/>
  <c r="A3" i="11"/>
  <c r="A4" i="11"/>
  <c r="A2" i="11"/>
  <c r="A6" i="11"/>
  <c r="J6" i="10"/>
  <c r="L6" i="10" s="1"/>
  <c r="J4" i="10"/>
  <c r="L4" i="10" s="1"/>
  <c r="J5" i="10"/>
  <c r="L5" i="10" s="1"/>
  <c r="J2" i="10"/>
  <c r="J3" i="10"/>
  <c r="L3" i="10" s="1"/>
  <c r="A5" i="10"/>
  <c r="A3" i="10"/>
  <c r="A4" i="10"/>
  <c r="A2" i="10"/>
  <c r="A6" i="10"/>
  <c r="L2" i="10"/>
  <c r="F6" i="8"/>
  <c r="K6" i="9"/>
  <c r="I6" i="9"/>
  <c r="H6" i="9"/>
  <c r="K5" i="9"/>
  <c r="I5" i="9"/>
  <c r="H5" i="9"/>
  <c r="K4" i="9"/>
  <c r="I4" i="9"/>
  <c r="H4" i="9"/>
  <c r="J4" i="9" s="1"/>
  <c r="L4" i="9" s="1"/>
  <c r="K3" i="9"/>
  <c r="I3" i="9"/>
  <c r="H3" i="9"/>
  <c r="K2" i="9"/>
  <c r="I2" i="9"/>
  <c r="H2" i="9"/>
  <c r="A1" i="9" a="1"/>
  <c r="A1" i="9" s="1"/>
  <c r="K6" i="8"/>
  <c r="I6" i="8"/>
  <c r="H6" i="8"/>
  <c r="J6" i="8" s="1"/>
  <c r="L6" i="8" s="1"/>
  <c r="K5" i="8"/>
  <c r="I5" i="8"/>
  <c r="H5" i="8"/>
  <c r="J5" i="8" s="1"/>
  <c r="L5" i="8" s="1"/>
  <c r="F5" i="8"/>
  <c r="K4" i="8"/>
  <c r="I4" i="8"/>
  <c r="H4" i="8"/>
  <c r="F4" i="8"/>
  <c r="K3" i="8"/>
  <c r="I3" i="8"/>
  <c r="H3" i="8"/>
  <c r="F3" i="8"/>
  <c r="K2" i="8"/>
  <c r="I2" i="8"/>
  <c r="H2" i="8"/>
  <c r="F2" i="8"/>
  <c r="A1" i="8" a="1"/>
  <c r="A1" i="8" s="1"/>
  <c r="A2" i="8" s="1"/>
  <c r="F6" i="5"/>
  <c r="F5" i="5"/>
  <c r="F4" i="5"/>
  <c r="F3" i="5"/>
  <c r="F2" i="5"/>
  <c r="F6" i="6"/>
  <c r="F5" i="6"/>
  <c r="F4" i="6"/>
  <c r="F3" i="6"/>
  <c r="F2" i="6"/>
  <c r="F3" i="7"/>
  <c r="F4" i="7"/>
  <c r="F5" i="7"/>
  <c r="F6" i="7"/>
  <c r="F2" i="7"/>
  <c r="K6" i="7"/>
  <c r="I6" i="7"/>
  <c r="H6" i="7"/>
  <c r="K5" i="7"/>
  <c r="I5" i="7"/>
  <c r="H5" i="7"/>
  <c r="K4" i="7"/>
  <c r="I4" i="7"/>
  <c r="H4" i="7"/>
  <c r="J4" i="7" s="1"/>
  <c r="L4" i="7" s="1"/>
  <c r="K3" i="7"/>
  <c r="I3" i="7"/>
  <c r="H3" i="7"/>
  <c r="K2" i="7"/>
  <c r="I2" i="7"/>
  <c r="H2" i="7"/>
  <c r="A1" i="7" a="1"/>
  <c r="A1" i="7" s="1"/>
  <c r="K6" i="6"/>
  <c r="I6" i="6"/>
  <c r="H6" i="6"/>
  <c r="K5" i="6"/>
  <c r="I5" i="6"/>
  <c r="H5" i="6"/>
  <c r="K4" i="6"/>
  <c r="I4" i="6"/>
  <c r="H4" i="6"/>
  <c r="K3" i="6"/>
  <c r="I3" i="6"/>
  <c r="H3" i="6"/>
  <c r="K2" i="6"/>
  <c r="I2" i="6"/>
  <c r="H2" i="6"/>
  <c r="A1" i="6" a="1"/>
  <c r="A1" i="6" s="1"/>
  <c r="L6" i="5"/>
  <c r="K6" i="5"/>
  <c r="I6" i="5"/>
  <c r="H6" i="5"/>
  <c r="K5" i="5"/>
  <c r="I5" i="5"/>
  <c r="H5" i="5"/>
  <c r="K4" i="5"/>
  <c r="I4" i="5"/>
  <c r="H4" i="5"/>
  <c r="K3" i="5"/>
  <c r="I3" i="5"/>
  <c r="H3" i="5"/>
  <c r="K2" i="5"/>
  <c r="I2" i="5"/>
  <c r="H2" i="5"/>
  <c r="A1" i="5" a="1"/>
  <c r="A1" i="5" s="1"/>
  <c r="J6" i="4"/>
  <c r="H6" i="4"/>
  <c r="G6" i="4"/>
  <c r="J5" i="4"/>
  <c r="H5" i="4"/>
  <c r="G5" i="4"/>
  <c r="J4" i="4"/>
  <c r="H4" i="4"/>
  <c r="G4" i="4"/>
  <c r="I4" i="4" s="1"/>
  <c r="K4" i="4" s="1"/>
  <c r="J3" i="4"/>
  <c r="H3" i="4"/>
  <c r="G3" i="4"/>
  <c r="J2" i="4"/>
  <c r="H2" i="4"/>
  <c r="G2" i="4"/>
  <c r="I2" i="4" s="1"/>
  <c r="A1" i="4" a="1"/>
  <c r="A1" i="4" s="1"/>
  <c r="J6" i="3"/>
  <c r="H6" i="3"/>
  <c r="G6" i="3"/>
  <c r="J5" i="3"/>
  <c r="H5" i="3"/>
  <c r="G5" i="3"/>
  <c r="J4" i="3"/>
  <c r="H4" i="3"/>
  <c r="G4" i="3"/>
  <c r="I4" i="3" s="1"/>
  <c r="K4" i="3" s="1"/>
  <c r="J3" i="3"/>
  <c r="H3" i="3"/>
  <c r="G3" i="3"/>
  <c r="J2" i="3"/>
  <c r="H2" i="3"/>
  <c r="G2" i="3"/>
  <c r="A1" i="3" a="1"/>
  <c r="A1" i="3" s="1"/>
  <c r="J6" i="2"/>
  <c r="H6" i="2"/>
  <c r="G6" i="2"/>
  <c r="J5" i="2"/>
  <c r="H5" i="2"/>
  <c r="G5" i="2"/>
  <c r="J4" i="2"/>
  <c r="H4" i="2"/>
  <c r="G4" i="2"/>
  <c r="I4" i="2" s="1"/>
  <c r="K4" i="2" s="1"/>
  <c r="J3" i="2"/>
  <c r="H3" i="2"/>
  <c r="G3" i="2"/>
  <c r="J2" i="2"/>
  <c r="H2" i="2"/>
  <c r="G2" i="2"/>
  <c r="A1" i="2" a="1"/>
  <c r="A1" i="2" s="1"/>
  <c r="J6" i="1"/>
  <c r="H6" i="1"/>
  <c r="G6" i="1"/>
  <c r="J5" i="1"/>
  <c r="H5" i="1"/>
  <c r="G5" i="1"/>
  <c r="J4" i="1"/>
  <c r="H4" i="1"/>
  <c r="G4" i="1"/>
  <c r="J3" i="1"/>
  <c r="H3" i="1"/>
  <c r="G3" i="1"/>
  <c r="I3" i="1" s="1"/>
  <c r="K3" i="1" s="1"/>
  <c r="J2" i="1"/>
  <c r="H2" i="1"/>
  <c r="G2" i="1"/>
  <c r="A1" i="1" a="1"/>
  <c r="A1" i="1" s="1"/>
  <c r="J10" i="18" l="1"/>
  <c r="J9" i="18"/>
  <c r="J7" i="17"/>
  <c r="J10" i="17" s="1"/>
  <c r="J7" i="16"/>
  <c r="J10" i="16" s="1"/>
  <c r="J10" i="15"/>
  <c r="J9" i="15"/>
  <c r="J7" i="14"/>
  <c r="J10" i="14" s="1"/>
  <c r="J10" i="13"/>
  <c r="J9" i="13"/>
  <c r="J10" i="12"/>
  <c r="J9" i="12"/>
  <c r="J7" i="11"/>
  <c r="J10" i="11" s="1"/>
  <c r="J7" i="10"/>
  <c r="J10" i="10" s="1"/>
  <c r="J6" i="9"/>
  <c r="L6" i="9" s="1"/>
  <c r="J5" i="9"/>
  <c r="L5" i="9" s="1"/>
  <c r="J3" i="9"/>
  <c r="L3" i="9" s="1"/>
  <c r="A2" i="9"/>
  <c r="A5" i="9"/>
  <c r="A3" i="9"/>
  <c r="A6" i="9"/>
  <c r="A4" i="9"/>
  <c r="J4" i="8"/>
  <c r="L4" i="8" s="1"/>
  <c r="J3" i="8"/>
  <c r="L3" i="8" s="1"/>
  <c r="J2" i="8"/>
  <c r="L2" i="8"/>
  <c r="A4" i="8"/>
  <c r="A6" i="8"/>
  <c r="A3" i="8"/>
  <c r="A5" i="8"/>
  <c r="J6" i="7"/>
  <c r="L6" i="7" s="1"/>
  <c r="J3" i="7"/>
  <c r="L3" i="7" s="1"/>
  <c r="J2" i="7"/>
  <c r="L2" i="7" s="1"/>
  <c r="J5" i="7"/>
  <c r="L5" i="7" s="1"/>
  <c r="A5" i="7"/>
  <c r="A3" i="7"/>
  <c r="A6" i="7"/>
  <c r="A4" i="7"/>
  <c r="A2" i="7"/>
  <c r="J4" i="6"/>
  <c r="L4" i="6" s="1"/>
  <c r="J2" i="6"/>
  <c r="L2" i="6" s="1"/>
  <c r="J6" i="6"/>
  <c r="L6" i="6" s="1"/>
  <c r="J5" i="6"/>
  <c r="L5" i="6" s="1"/>
  <c r="J3" i="6"/>
  <c r="L3" i="6" s="1"/>
  <c r="A5" i="6"/>
  <c r="A3" i="6"/>
  <c r="A2" i="6"/>
  <c r="A4" i="6"/>
  <c r="A6" i="6"/>
  <c r="J6" i="5"/>
  <c r="J5" i="5"/>
  <c r="L5" i="5" s="1"/>
  <c r="J4" i="5"/>
  <c r="L4" i="5" s="1"/>
  <c r="J3" i="5"/>
  <c r="J2" i="5"/>
  <c r="L2" i="5" s="1"/>
  <c r="A6" i="5"/>
  <c r="A2" i="5"/>
  <c r="A4" i="5"/>
  <c r="A5" i="5"/>
  <c r="A3" i="5"/>
  <c r="I6" i="4"/>
  <c r="K6" i="4" s="1"/>
  <c r="I3" i="4"/>
  <c r="K3" i="4" s="1"/>
  <c r="I5" i="4"/>
  <c r="K5" i="4" s="1"/>
  <c r="A5" i="4"/>
  <c r="A3" i="4"/>
  <c r="A6" i="4"/>
  <c r="A2" i="4"/>
  <c r="A4" i="4"/>
  <c r="K2" i="4"/>
  <c r="I6" i="3"/>
  <c r="K6" i="3" s="1"/>
  <c r="I3" i="3"/>
  <c r="K3" i="3" s="1"/>
  <c r="I2" i="3"/>
  <c r="I5" i="3"/>
  <c r="K5" i="3" s="1"/>
  <c r="A3" i="3"/>
  <c r="A2" i="3"/>
  <c r="A5" i="3"/>
  <c r="A4" i="3"/>
  <c r="A6" i="3"/>
  <c r="I7" i="3"/>
  <c r="I9" i="3" s="1"/>
  <c r="K2" i="3"/>
  <c r="I6" i="2"/>
  <c r="K6" i="2" s="1"/>
  <c r="I3" i="2"/>
  <c r="I2" i="2"/>
  <c r="K2" i="2" s="1"/>
  <c r="I5" i="2"/>
  <c r="K5" i="2" s="1"/>
  <c r="A5" i="2"/>
  <c r="A3" i="2"/>
  <c r="A4" i="2"/>
  <c r="A2" i="2"/>
  <c r="A6" i="2"/>
  <c r="I7" i="2"/>
  <c r="I9" i="2" s="1"/>
  <c r="K3" i="2"/>
  <c r="I6" i="1"/>
  <c r="K6" i="1" s="1"/>
  <c r="I5" i="1"/>
  <c r="K5" i="1" s="1"/>
  <c r="I4" i="1"/>
  <c r="K4" i="1" s="1"/>
  <c r="I2" i="1"/>
  <c r="K2" i="1" s="1"/>
  <c r="A5" i="1"/>
  <c r="A3" i="1"/>
  <c r="A6" i="1"/>
  <c r="A4" i="1"/>
  <c r="A2" i="1"/>
  <c r="I7" i="1"/>
  <c r="I9" i="1" s="1"/>
  <c r="J9" i="17" l="1"/>
  <c r="J9" i="16"/>
  <c r="J9" i="14"/>
  <c r="J9" i="11"/>
  <c r="J9" i="10"/>
  <c r="J7" i="8"/>
  <c r="J9" i="8" s="1"/>
  <c r="J7" i="7"/>
  <c r="J9" i="7" s="1"/>
  <c r="J7" i="6"/>
  <c r="J9" i="6" s="1"/>
  <c r="J7" i="5"/>
  <c r="J9" i="5" s="1"/>
  <c r="L3" i="5"/>
  <c r="I7" i="4"/>
  <c r="I9" i="4" s="1"/>
  <c r="J2" i="9"/>
  <c r="J7" i="9" s="1"/>
  <c r="J10" i="9" s="1"/>
  <c r="J9" i="9" l="1"/>
  <c r="L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<sst xmlns="http://schemas.openxmlformats.org/spreadsheetml/2006/main" count="240" uniqueCount="25">
  <si>
    <t>In</t>
  </si>
  <si>
    <t>(Lunch)
Out</t>
  </si>
  <si>
    <t>(Lunch)
In</t>
  </si>
  <si>
    <t>Out</t>
  </si>
  <si>
    <t>Applicable
PTO / Holiday / Bereavement</t>
  </si>
  <si>
    <t>Morning Hours</t>
  </si>
  <si>
    <t>Afternoon Hours</t>
  </si>
  <si>
    <t>Total Hours</t>
  </si>
  <si>
    <t>Lunch
(Mins)</t>
  </si>
  <si>
    <t>Over / Under
(Mins)</t>
  </si>
  <si>
    <t>Weekly Hour</t>
  </si>
  <si>
    <t>Hours to 40</t>
  </si>
  <si>
    <t>Morning
Hours</t>
  </si>
  <si>
    <t>Afternoon
Hours</t>
  </si>
  <si>
    <t>Total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</si>
  <si>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(Holiday, Bereavement, etc.)</t>
    </r>
  </si>
  <si>
    <t>Daily Punch
Count</t>
  </si>
  <si>
    <r>
      <t xml:space="preserve">Lunch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</si>
  <si>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Over / Under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</si>
  <si>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Out
</t>
    </r>
    <r>
      <rPr>
        <b/>
        <sz val="14"/>
        <color theme="1"/>
        <rFont val="Calibri"/>
        <family val="2"/>
        <scheme val="minor"/>
      </rPr>
      <t>(Lunch)</t>
    </r>
  </si>
  <si>
    <r>
      <t xml:space="preserve">In
</t>
    </r>
    <r>
      <rPr>
        <b/>
        <sz val="14"/>
        <color theme="1"/>
        <rFont val="Calibri"/>
        <family val="2"/>
        <scheme val="minor"/>
      </rPr>
      <t>(Lunch)</t>
    </r>
  </si>
  <si>
    <t>Hours &gt; 40</t>
  </si>
  <si>
    <t>Pre-Lunch
Hours</t>
  </si>
  <si>
    <t>Post-Lunch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</si>
  <si>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(PTO, Holiday, Bereavement, etc.)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</si>
</sst>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_);[Red]\(0\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2D2D2D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4">
    <xf numFmtId="0" fontId="0" fillId="0" borderId="0" xfId="0"/>
    <xf numFmtId="14" fontId="2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/>
    <xf numFmtId="18" fontId="4" fillId="0" borderId="4" xfId="0" applyNumberFormat="1" applyFont="1" applyBorder="1" applyAlignment="1">
      <alignment horizontal="center"/>
    </xf>
    <xf numFmtId="18" fontId="4" fillId="0" borderId="5" xfId="0" applyNumberFormat="1" applyFont="1" applyBorder="1" applyAlignment="1">
      <alignment horizontal="center"/>
    </xf>
    <xf numFmtId="43" fontId="5" fillId="2" borderId="3" xfId="1" applyFont="1" applyFill="1" applyBorder="1" applyAlignment="1">
      <alignment horizontal="center"/>
    </xf>
    <xf numFmtId="43" fontId="5" fillId="2" borderId="1" xfId="1" applyFont="1" applyFill="1" applyBorder="1" applyAlignment="1">
      <alignment horizontal="center"/>
    </xf>
    <xf numFmtId="43" fontId="4" fillId="0" borderId="1" xfId="0" applyNumberFormat="1" applyFont="1" applyBorder="1" applyAlignment="1">
      <alignment horizontal="center"/>
    </xf>
    <xf numFmtId="43" fontId="5" fillId="0" borderId="1" xfId="1" applyFont="1" applyFill="1" applyBorder="1" applyAlignment="1">
      <alignment horizontal="center"/>
    </xf>
    <xf numFmtId="43" fontId="5" fillId="0" borderId="6" xfId="1" applyFont="1" applyFill="1" applyBorder="1" applyAlignment="1">
      <alignment horizontal="center"/>
    </xf>
    <xf numFmtId="43" fontId="0" fillId="0" borderId="0" xfId="0" applyNumberFormat="1"/>
    <xf numFmtId="14" fontId="3" fillId="2" borderId="4" xfId="0" applyNumberFormat="1" applyFont="1" applyFill="1" applyBorder="1"/>
    <xf numFmtId="43" fontId="5" fillId="2" borderId="4" xfId="1" applyFont="1" applyFill="1" applyBorder="1" applyAlignment="1">
      <alignment horizont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6" fillId="0" borderId="7" xfId="0" applyNumberFormat="1" applyFont="1" applyBorder="1" applyAlignment="1">
      <alignment horizontal="center"/>
    </xf>
    <xf numFmtId="43" fontId="4" fillId="0" borderId="0" xfId="0" applyNumberFormat="1" applyFont="1" applyAlignment="1">
      <alignment horizontal="center"/>
    </xf>
    <xf numFmtId="0" fontId="3" fillId="0" borderId="8" xfId="0" applyFont="1" applyBorder="1" applyAlignment="1">
      <alignment horizontal="center"/>
    </xf>
    <xf numFmtId="43" fontId="4" fillId="0" borderId="9" xfId="0" applyNumberFormat="1" applyFont="1" applyBorder="1" applyAlignment="1">
      <alignment horizontal="center"/>
    </xf>
    <xf numFmtId="40" fontId="0" fillId="0" borderId="0" xfId="0" applyNumberFormat="1"/>
    <xf numFmtId="18" fontId="4" fillId="2" borderId="4" xfId="0" applyNumberFormat="1" applyFont="1" applyFill="1" applyBorder="1" applyAlignment="1">
      <alignment horizontal="center"/>
    </xf>
    <xf numFmtId="43" fontId="5" fillId="2" borderId="11" xfId="1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 wrapText="1"/>
    </xf>
    <xf numFmtId="164" fontId="4" fillId="0" borderId="12" xfId="0" applyNumberFormat="1" applyFont="1" applyBorder="1" applyAlignment="1">
      <alignment horizontal="center"/>
    </xf>
    <xf numFmtId="18" fontId="4" fillId="2" borderId="5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  <xf numFmtId="43" fontId="4" fillId="0" borderId="0" xfId="0" applyNumberFormat="1" applyFont="1"/>
  </cellXfs>
  <cellStyles count="2">
    <cellStyle name="Comma" xfId="1" builtinId="3"/>
    <cellStyle name="Normal" xfId="0" builtinId="0"/>
  </cellStyles>
  <dxfs count="16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CFE7D-7614-4F7F-B0B0-8B0AD836CA96}">
  <dimension ref="A1:M25"/>
  <sheetViews>
    <sheetView tabSelected="1" zoomScale="85" zoomScaleNormal="85" workbookViewId="0">
      <selection activeCell="B2" sqref="B2"/>
    </sheetView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05/04/2026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(4th)</v>
      </c>
      <c r="B2" s="8"/>
      <c r="C2" s="8"/>
      <c r="D2" s="8"/>
      <c r="E2" s="9"/>
      <c r="F2" s="30">
        <f>IF(G2 &gt;= 8, 4 + COUNT(B2:E2), IF(AND(G2 &gt;= 4, G2 &lt;= 7), 2 + COUNT(B2:E2), COUNT(B2:E2)))</f>
        <v>0</v>
      </c>
      <c r="G2" s="10"/>
      <c r="H2" s="10">
        <f>SUM(C2 - B2) * 24</f>
        <v>0</v>
      </c>
      <c r="I2" s="11">
        <f>SUM(E2 - D2) * 24</f>
        <v>0</v>
      </c>
      <c r="J2" s="12">
        <f>H2 + I2 + G2</f>
        <v>0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(5th)</v>
      </c>
      <c r="B3" s="8"/>
      <c r="C3" s="8"/>
      <c r="D3" s="8"/>
      <c r="E3" s="9"/>
      <c r="F3" s="30">
        <f t="shared" ref="F3:F6" si="0">IF(G3 &gt;= 8, 4 + COUNT(B3:E3), IF(AND(G3 &gt;= 4, G3 &lt;= 7), 2 + COUNT(B3:E3), COUNT(B3:E3)))</f>
        <v>0</v>
      </c>
      <c r="G3" s="10"/>
      <c r="H3" s="10">
        <f>SUM(C3 - B3) * 24</f>
        <v>0</v>
      </c>
      <c r="I3" s="11">
        <f>SUM(E3 - D3) * 24</f>
        <v>0</v>
      </c>
      <c r="J3" s="12">
        <f t="shared" ref="J3:J6" si="1">H3 + I3 + G3</f>
        <v>0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(6th)</v>
      </c>
      <c r="B4" s="8"/>
      <c r="C4" s="8"/>
      <c r="D4" s="8"/>
      <c r="E4" s="9"/>
      <c r="F4" s="30">
        <f t="shared" si="0"/>
        <v>0</v>
      </c>
      <c r="G4" s="28"/>
      <c r="H4" s="10">
        <f t="shared" ref="H4:H5" si="2">SUM(C4 - B4) * 24</f>
        <v>0</v>
      </c>
      <c r="I4" s="11">
        <f t="shared" ref="I4:I6" si="3">SUM(E4 - D4) * 24</f>
        <v>0</v>
      </c>
      <c r="J4" s="12">
        <f t="shared" si="1"/>
        <v>0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(7th)</v>
      </c>
      <c r="B5" s="8"/>
      <c r="C5" s="8"/>
      <c r="D5" s="8"/>
      <c r="E5" s="9"/>
      <c r="F5" s="30">
        <f t="shared" si="0"/>
        <v>0</v>
      </c>
      <c r="G5" s="28"/>
      <c r="H5" s="10">
        <f t="shared" si="2"/>
        <v>0</v>
      </c>
      <c r="I5" s="11">
        <f t="shared" si="3"/>
        <v>0</v>
      </c>
      <c r="J5" s="12">
        <f t="shared" si="1"/>
        <v>0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(8th)</v>
      </c>
      <c r="B6" s="8"/>
      <c r="C6" s="8"/>
      <c r="D6" s="8"/>
      <c r="E6" s="9"/>
      <c r="F6" s="30">
        <f t="shared" si="0"/>
        <v>0</v>
      </c>
      <c r="G6" s="10"/>
      <c r="H6" s="10">
        <f>SUM(C6 - B6) * 24</f>
        <v>0</v>
      </c>
      <c r="I6" s="11">
        <f t="shared" si="3"/>
        <v>0</v>
      </c>
      <c r="J6" s="12">
        <f t="shared" si="1"/>
        <v>0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0</v>
      </c>
      <c r="K7" s="25">
        <f>IF(SUM(K2:K6) &lt;&gt; 0, ((60*5) - SUM(K2:K6)) / 60, 0)</f>
        <v>0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40</v>
      </c>
      <c r="K9" s="26"/>
    </row>
    <row r="10" spans="1:13" ht="24" thickBot="1" x14ac:dyDescent="0.4">
      <c r="I10" s="32" t="s">
        <v>21</v>
      </c>
      <c r="J10" s="25" t="str">
        <f>IF(J7 &lt; 40, "-", J7-40)</f>
        <v>-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0" priority="3" operator="greaterThan">
      <formula>3</formula>
    </cfRule>
    <cfRule type="cellIs" dxfId="9" priority="4" operator="lessThan">
      <formula>4</formula>
    </cfRule>
  </conditionalFormatting>
  <conditionalFormatting sqref="J2:J6">
    <cfRule type="cellIs" dxfId="8" priority="8" operator="greaterThan">
      <formula>7.99999999</formula>
    </cfRule>
    <cfRule type="cellIs" dxfId="7" priority="9" operator="lessThan">
      <formula>8</formula>
    </cfRule>
  </conditionalFormatting>
  <conditionalFormatting sqref="J7">
    <cfRule type="cellIs" dxfId="6" priority="10" operator="lessThan">
      <formula>40</formula>
    </cfRule>
    <cfRule type="cellIs" dxfId="5" priority="11" operator="greaterThan">
      <formula>39.999999</formula>
    </cfRule>
  </conditionalFormatting>
  <conditionalFormatting sqref="K7">
    <cfRule type="cellIs" dxfId="4" priority="1" operator="greaterThan">
      <formula>0</formula>
    </cfRule>
    <cfRule type="cellIs" dxfId="3" priority="2" operator="lessThan">
      <formula>0</formula>
    </cfRule>
  </conditionalFormatting>
  <conditionalFormatting sqref="L2:L6">
    <cfRule type="cellIs" dxfId="2" priority="5" operator="equal">
      <formula>"-"</formula>
    </cfRule>
    <cfRule type="cellIs" dxfId="1" priority="6" operator="greaterThan">
      <formula>0.1</formula>
    </cfRule>
    <cfRule type="cellIs" dxfId="0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38E4F-E691-46C6-97FD-EC7175A0C027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(27th)</v>
      </c>
      <c r="B2" s="8">
        <v>0.28819444444444442</v>
      </c>
      <c r="C2" s="8">
        <v>0.51111111111111107</v>
      </c>
      <c r="D2" s="8">
        <v>0.54236111111111107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5.35</v>
      </c>
      <c r="I2" s="11">
        <f>SUM(E2 - D2) * 24</f>
        <v>2.9833333333333334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(28th)</v>
      </c>
      <c r="B3" s="8">
        <v>0.28819444444444442</v>
      </c>
      <c r="C3" s="8">
        <v>0.53333333333333333</v>
      </c>
      <c r="D3" s="8">
        <v>0.56388888888888888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5.8833333333333337</v>
      </c>
      <c r="I3" s="11">
        <f>SUM(E3 - D3) * 24</f>
        <v>2.4666666666666659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(29th)</v>
      </c>
      <c r="B4" s="8">
        <v>0.28819444444444442</v>
      </c>
      <c r="C4" s="8">
        <v>0.49236111111111114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4.9000000000000012</v>
      </c>
      <c r="I4" s="11">
        <f t="shared" ref="I4:I6" si="3">SUM(E4 - D4) * 24</f>
        <v>3.4499999999999984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(30th)</v>
      </c>
      <c r="B5" s="8">
        <v>0.28819444444444442</v>
      </c>
      <c r="C5" s="8">
        <v>0.56458333333333333</v>
      </c>
      <c r="D5" s="8">
        <v>0.59513888888888888</v>
      </c>
      <c r="E5" s="9">
        <v>0.66666666666666663</v>
      </c>
      <c r="F5" s="30">
        <f t="shared" si="0"/>
        <v>4</v>
      </c>
      <c r="G5" s="28"/>
      <c r="H5" s="10">
        <f t="shared" si="2"/>
        <v>6.6333333333333337</v>
      </c>
      <c r="I5" s="11">
        <f t="shared" si="3"/>
        <v>1.7166666666666659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(1st)</v>
      </c>
      <c r="B6" s="8">
        <v>0.29097222222222224</v>
      </c>
      <c r="C6" s="8">
        <v>0.49236111111111114</v>
      </c>
      <c r="D6" s="8">
        <v>0.5229166666666667</v>
      </c>
      <c r="E6" s="9">
        <v>0.66666666666666663</v>
      </c>
      <c r="F6" s="30">
        <f t="shared" si="0"/>
        <v>4</v>
      </c>
      <c r="G6" s="10"/>
      <c r="H6" s="10">
        <f>SUM(C6 - B6) * 24</f>
        <v>4.8333333333333339</v>
      </c>
      <c r="I6" s="11">
        <f t="shared" si="3"/>
        <v>3.4499999999999984</v>
      </c>
      <c r="J6" s="12">
        <f t="shared" si="1"/>
        <v>8.2833333333333314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-17.999999999999886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1.3166666666666667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67" priority="3" operator="greaterThan">
      <formula>3</formula>
    </cfRule>
    <cfRule type="cellIs" dxfId="166" priority="4" operator="lessThan">
      <formula>4</formula>
    </cfRule>
  </conditionalFormatting>
  <conditionalFormatting sqref="J2:J6">
    <cfRule type="cellIs" dxfId="165" priority="8" operator="greaterThan">
      <formula>7.99999999</formula>
    </cfRule>
    <cfRule type="cellIs" dxfId="164" priority="9" operator="lessThan">
      <formula>8</formula>
    </cfRule>
  </conditionalFormatting>
  <conditionalFormatting sqref="J7">
    <cfRule type="cellIs" dxfId="163" priority="10" operator="lessThan">
      <formula>40</formula>
    </cfRule>
    <cfRule type="cellIs" dxfId="162" priority="11" operator="greaterThan">
      <formula>39.999999</formula>
    </cfRule>
  </conditionalFormatting>
  <conditionalFormatting sqref="K7">
    <cfRule type="cellIs" dxfId="161" priority="1" operator="greaterThan">
      <formula>0</formula>
    </cfRule>
    <cfRule type="cellIs" dxfId="160" priority="2" operator="lessThan">
      <formula>0</formula>
    </cfRule>
  </conditionalFormatting>
  <conditionalFormatting sqref="L2:L6">
    <cfRule type="cellIs" dxfId="159" priority="5" operator="equal">
      <formula>"-"</formula>
    </cfRule>
    <cfRule type="cellIs" dxfId="158" priority="6" operator="greaterThan">
      <formula>0.1</formula>
    </cfRule>
    <cfRule type="cellIs" dxfId="157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1D9D8-918B-4A24-B181-4C0540C55ECF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(20th)</v>
      </c>
      <c r="B2" s="8">
        <v>0.28819444444444442</v>
      </c>
      <c r="C2" s="8">
        <v>0.49583333333333335</v>
      </c>
      <c r="D2" s="8">
        <v>0.52569444444444446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4.9833333333333343</v>
      </c>
      <c r="I2" s="11">
        <f>SUM(E2 - D2) * 24</f>
        <v>3.383333333333332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(21st)</v>
      </c>
      <c r="B3" s="8">
        <v>0.28819444444444442</v>
      </c>
      <c r="C3" s="8">
        <v>0.48402777777777778</v>
      </c>
      <c r="D3" s="8">
        <v>0.51458333333333328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4.7000000000000011</v>
      </c>
      <c r="I3" s="11">
        <f>SUM(E3 - D3) * 24</f>
        <v>3.6500000000000004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(22nd)</v>
      </c>
      <c r="B4" s="8">
        <v>0.28819444444444442</v>
      </c>
      <c r="C4" s="8">
        <v>0.49513888888888891</v>
      </c>
      <c r="D4" s="8">
        <v>0.52569444444444446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4.9666666666666677</v>
      </c>
      <c r="I4" s="11">
        <f t="shared" ref="I4:I6" si="3">SUM(E4 - D4) * 24</f>
        <v>3.383333333333332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(23rd)</v>
      </c>
      <c r="B5" s="8">
        <v>0.28819444444444442</v>
      </c>
      <c r="C5" s="8">
        <v>0.50069444444444444</v>
      </c>
      <c r="D5" s="8">
        <v>0.53194444444444444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3.2333333333333325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(24th)</v>
      </c>
      <c r="B6" s="8">
        <v>0.28819444444444442</v>
      </c>
      <c r="C6" s="8">
        <v>0.50416666666666665</v>
      </c>
      <c r="D6" s="8">
        <v>0.53472222222222221</v>
      </c>
      <c r="E6" s="9">
        <v>0.66666666666666663</v>
      </c>
      <c r="F6" s="30">
        <f t="shared" si="0"/>
        <v>4</v>
      </c>
      <c r="G6" s="10"/>
      <c r="H6" s="10">
        <f>SUM(C6 - B6) * 24</f>
        <v>5.1833333333333336</v>
      </c>
      <c r="I6" s="11">
        <f t="shared" si="3"/>
        <v>3.1666666666666661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41.750000000000007</v>
      </c>
      <c r="K7" s="25">
        <f>IF(SUM(K2:K6) &lt;&gt; 0, ((60*5) - SUM(K2:K6)) / 60, 0)</f>
        <v>1.3333333333333344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-1.7500000000000071</v>
      </c>
      <c r="K9" s="26"/>
    </row>
    <row r="10" spans="1:13" ht="24" thickBot="1" x14ac:dyDescent="0.4">
      <c r="I10" s="32" t="s">
        <v>21</v>
      </c>
      <c r="J10" s="25">
        <f>IF(J7 &lt; 40, "-", J7-40)</f>
        <v>1.7500000000000071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56" priority="3" operator="greaterThan">
      <formula>3</formula>
    </cfRule>
    <cfRule type="cellIs" dxfId="155" priority="4" operator="lessThan">
      <formula>4</formula>
    </cfRule>
  </conditionalFormatting>
  <conditionalFormatting sqref="J2:J6">
    <cfRule type="cellIs" dxfId="154" priority="8" operator="greaterThan">
      <formula>7.99999999</formula>
    </cfRule>
    <cfRule type="cellIs" dxfId="153" priority="9" operator="lessThan">
      <formula>8</formula>
    </cfRule>
  </conditionalFormatting>
  <conditionalFormatting sqref="J7">
    <cfRule type="cellIs" dxfId="152" priority="10" operator="lessThan">
      <formula>40</formula>
    </cfRule>
    <cfRule type="cellIs" dxfId="151" priority="11" operator="greaterThan">
      <formula>39.999999</formula>
    </cfRule>
  </conditionalFormatting>
  <conditionalFormatting sqref="K7">
    <cfRule type="cellIs" dxfId="150" priority="1" operator="greaterThan">
      <formula>0</formula>
    </cfRule>
    <cfRule type="cellIs" dxfId="149" priority="2" operator="lessThan">
      <formula>0</formula>
    </cfRule>
  </conditionalFormatting>
  <conditionalFormatting sqref="L2:L6">
    <cfRule type="cellIs" dxfId="148" priority="5" operator="equal">
      <formula>"-"</formula>
    </cfRule>
    <cfRule type="cellIs" dxfId="147" priority="6" operator="greaterThan">
      <formula>0.1</formula>
    </cfRule>
    <cfRule type="cellIs" dxfId="146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DEE3-E784-4BAF-9730-AC8A15978DE6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04/13/2026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(13th)</v>
      </c>
      <c r="B2" s="8">
        <v>0.28819444444444442</v>
      </c>
      <c r="C2" s="8">
        <v>0.50347222222222221</v>
      </c>
      <c r="D2" s="8">
        <v>0.53541666666666665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5.166666666666667</v>
      </c>
      <c r="I2" s="11">
        <f>SUM(E2 - D2) * 24</f>
        <v>3.1499999999999995</v>
      </c>
      <c r="J2" s="12">
        <f>H2 + I2 + G2</f>
        <v>8.3166666666666664</v>
      </c>
      <c r="K2" s="13">
        <f>IF(AND(C2 &lt;&gt; "", D2 &lt;&gt; ""), (SUM(D2 - C2) * 1440), " - ")</f>
        <v>46</v>
      </c>
      <c r="L2" s="14">
        <f>IF(AND((B2 &lt;&gt; ""), (C2 &lt;&gt; ""), (D2 &lt;&gt; ""), (E2 &lt;&gt; "")), IF((((8 - J2) * 60) + 1) &gt; 0, (((8 - J2) * 60) + 1), (((8 - J2) * 60) - 1)), "-")</f>
        <v>-19.999999999999986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(14th)</v>
      </c>
      <c r="B3" s="8">
        <v>0.28819444444444442</v>
      </c>
      <c r="C3" s="8">
        <v>0.52152777777777781</v>
      </c>
      <c r="D3" s="8">
        <v>0.55277777777777781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5.6000000000000014</v>
      </c>
      <c r="I3" s="11">
        <f>SUM(E3 - D3) * 24</f>
        <v>2.7333333333333316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(15th)</v>
      </c>
      <c r="B4" s="8">
        <v>0.28819444444444442</v>
      </c>
      <c r="C4" s="8">
        <v>0.4597222222222222</v>
      </c>
      <c r="D4" s="8">
        <v>0.49583333333333335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4.1166666666666671</v>
      </c>
      <c r="I4" s="11">
        <f t="shared" ref="I4:I6" si="3">SUM(E4 - D4) * 24</f>
        <v>4.0999999999999988</v>
      </c>
      <c r="J4" s="12">
        <f t="shared" si="1"/>
        <v>8.216666666666665</v>
      </c>
      <c r="K4" s="13">
        <f t="shared" ref="K4:K6" si="4">IF(AND(C4 &lt;&gt; "", D4 &lt;&gt; ""), (SUM(D4 - C4) * 1440), " - ")</f>
        <v>52.000000000000057</v>
      </c>
      <c r="L4" s="14">
        <f t="shared" ref="L4:L5" si="5">IF(AND((B4 &lt;&gt; ""), (C4 &lt;&gt; ""), (D4 &lt;&gt; ""), (E4 &lt;&gt; "")), IF((((8 - J4) * 60) + 1) &gt; 0, (((8 - J4) * 60) + 1), (((8 - J4) * 60) - 1)), "-")</f>
        <v>-13.999999999999901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(16th)</v>
      </c>
      <c r="B5" s="8">
        <v>0.28819444444444442</v>
      </c>
      <c r="C5" s="8">
        <v>0.49930555555555556</v>
      </c>
      <c r="D5" s="8">
        <v>0.52916666666666667</v>
      </c>
      <c r="E5" s="9">
        <v>0.66666666666666663</v>
      </c>
      <c r="F5" s="30">
        <f t="shared" si="0"/>
        <v>4</v>
      </c>
      <c r="G5" s="28"/>
      <c r="H5" s="10">
        <f t="shared" si="2"/>
        <v>5.0666666666666673</v>
      </c>
      <c r="I5" s="11">
        <f t="shared" si="3"/>
        <v>3.2999999999999989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(17th)</v>
      </c>
      <c r="B6" s="8">
        <v>0.28819444444444442</v>
      </c>
      <c r="C6" s="8">
        <v>0.51736111111111116</v>
      </c>
      <c r="D6" s="8">
        <v>0.54722222222222228</v>
      </c>
      <c r="E6" s="9">
        <v>0.66666666666666663</v>
      </c>
      <c r="F6" s="30">
        <f t="shared" si="0"/>
        <v>4</v>
      </c>
      <c r="G6" s="10"/>
      <c r="H6" s="10">
        <f>SUM(C6 - B6) * 24</f>
        <v>5.5000000000000018</v>
      </c>
      <c r="I6" s="11">
        <f t="shared" si="3"/>
        <v>2.8666666666666645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41.6</v>
      </c>
      <c r="K7" s="25">
        <f>IF(SUM(K2:K6) &lt;&gt; 0, ((60*5) - SUM(K2:K6)) / 60, 0)</f>
        <v>1.1833333333333325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-1.6000000000000014</v>
      </c>
      <c r="K9" s="26"/>
    </row>
    <row r="10" spans="1:13" ht="24" thickBot="1" x14ac:dyDescent="0.4">
      <c r="I10" s="32" t="s">
        <v>21</v>
      </c>
      <c r="J10" s="25">
        <f>IF(J7 &lt; 40, "-", J7-40)</f>
        <v>1.6000000000000014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45" priority="3" operator="greaterThan">
      <formula>3</formula>
    </cfRule>
    <cfRule type="cellIs" dxfId="144" priority="4" operator="lessThan">
      <formula>4</formula>
    </cfRule>
  </conditionalFormatting>
  <conditionalFormatting sqref="J2:J6">
    <cfRule type="cellIs" dxfId="143" priority="8" operator="greaterThan">
      <formula>7.99999999</formula>
    </cfRule>
    <cfRule type="cellIs" dxfId="142" priority="9" operator="lessThan">
      <formula>8</formula>
    </cfRule>
  </conditionalFormatting>
  <conditionalFormatting sqref="J7">
    <cfRule type="cellIs" dxfId="141" priority="10" operator="lessThan">
      <formula>40</formula>
    </cfRule>
    <cfRule type="cellIs" dxfId="140" priority="11" operator="greaterThan">
      <formula>39.999999</formula>
    </cfRule>
  </conditionalFormatting>
  <conditionalFormatting sqref="K7">
    <cfRule type="cellIs" dxfId="139" priority="1" operator="greaterThan">
      <formula>0</formula>
    </cfRule>
    <cfRule type="cellIs" dxfId="138" priority="2" operator="lessThan">
      <formula>0</formula>
    </cfRule>
  </conditionalFormatting>
  <conditionalFormatting sqref="L2:L6">
    <cfRule type="cellIs" dxfId="137" priority="5" operator="equal">
      <formula>"-"</formula>
    </cfRule>
    <cfRule type="cellIs" dxfId="136" priority="6" operator="greaterThan">
      <formula>0.1</formula>
    </cfRule>
    <cfRule type="cellIs" dxfId="13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3AA26-956E-44CC-A227-92587E57ACBA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04/08/2026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Wed (8th)</v>
      </c>
      <c r="B2" s="8">
        <v>0.28819444444444442</v>
      </c>
      <c r="C2" s="8">
        <v>0.49305555555555558</v>
      </c>
      <c r="D2" s="8">
        <v>0.52430555555555558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4.9166666666666679</v>
      </c>
      <c r="I2" s="11">
        <f>SUM(E2 - D2) * 24</f>
        <v>3.4166666666666652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Thu (9th)</v>
      </c>
      <c r="B3" s="8">
        <v>0.28819444444444442</v>
      </c>
      <c r="C3" s="8">
        <v>0.49444444444444446</v>
      </c>
      <c r="D3" s="8">
        <v>0.52500000000000002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4.9500000000000011</v>
      </c>
      <c r="I3" s="11">
        <f>SUM(E3 - D3) * 24</f>
        <v>3.3999999999999986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Fri (10th)</v>
      </c>
      <c r="B4" s="8">
        <v>0.28819444444444442</v>
      </c>
      <c r="C4" s="8">
        <v>0.49027777777777776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4.8499999999999996</v>
      </c>
      <c r="I4" s="11">
        <f t="shared" ref="I4:I6" si="3">SUM(E4 - D4) * 24</f>
        <v>3.4499999999999984</v>
      </c>
      <c r="J4" s="12">
        <f t="shared" si="1"/>
        <v>8.2999999999999972</v>
      </c>
      <c r="K4" s="13">
        <f t="shared" ref="K4:K6" si="4">IF(AND(C4 &lt;&gt; "", D4 &lt;&gt; ""), (SUM(D4 - C4) * 1440), " - ")</f>
        <v>47.000000000000071</v>
      </c>
      <c r="L4" s="14">
        <f t="shared" ref="L4:L5" si="5">IF(AND((B4 &lt;&gt; ""), (C4 &lt;&gt; ""), (D4 &lt;&gt; ""), (E4 &lt;&gt; "")), IF((((8 - J4) * 60) + 1) &gt; 0, (((8 - J4) * 60) + 1), (((8 - J4) * 60) - 1)), "-")</f>
        <v>-18.999999999999829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Sat (11th)</v>
      </c>
      <c r="B5" s="8">
        <v>0.28819444444444442</v>
      </c>
      <c r="C5" s="8">
        <v>0.49166666666666664</v>
      </c>
      <c r="D5" s="8">
        <v>0.5229166666666667</v>
      </c>
      <c r="E5" s="9">
        <v>0.66666666666666663</v>
      </c>
      <c r="F5" s="30">
        <f t="shared" si="0"/>
        <v>4</v>
      </c>
      <c r="G5" s="28"/>
      <c r="H5" s="10">
        <f t="shared" si="2"/>
        <v>4.8833333333333329</v>
      </c>
      <c r="I5" s="11">
        <f t="shared" si="3"/>
        <v>3.4499999999999984</v>
      </c>
      <c r="J5" s="12">
        <f t="shared" si="1"/>
        <v>8.3333333333333321</v>
      </c>
      <c r="K5" s="13">
        <f t="shared" si="4"/>
        <v>45.000000000000078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Sun (12th)</v>
      </c>
      <c r="B6" s="8">
        <v>0.28819444444444442</v>
      </c>
      <c r="C6" s="8">
        <v>0.49861111111111112</v>
      </c>
      <c r="D6" s="8">
        <v>0.52916666666666667</v>
      </c>
      <c r="E6" s="9">
        <v>0.66666666666666663</v>
      </c>
      <c r="F6" s="30">
        <f t="shared" si="0"/>
        <v>4</v>
      </c>
      <c r="G6" s="10"/>
      <c r="H6" s="10">
        <f>SUM(C6 - B6) * 24</f>
        <v>5.0500000000000007</v>
      </c>
      <c r="I6" s="11">
        <f t="shared" si="3"/>
        <v>3.2999999999999989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1.2499999999999976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34" priority="3" operator="greaterThan">
      <formula>3</formula>
    </cfRule>
    <cfRule type="cellIs" dxfId="133" priority="4" operator="lessThan">
      <formula>4</formula>
    </cfRule>
  </conditionalFormatting>
  <conditionalFormatting sqref="J2:J6">
    <cfRule type="cellIs" dxfId="132" priority="8" operator="greaterThan">
      <formula>7.99999999</formula>
    </cfRule>
    <cfRule type="cellIs" dxfId="131" priority="9" operator="lessThan">
      <formula>8</formula>
    </cfRule>
  </conditionalFormatting>
  <conditionalFormatting sqref="J7">
    <cfRule type="cellIs" dxfId="130" priority="10" operator="lessThan">
      <formula>40</formula>
    </cfRule>
    <cfRule type="cellIs" dxfId="129" priority="11" operator="greaterThan">
      <formula>39.999999</formula>
    </cfRule>
  </conditionalFormatting>
  <conditionalFormatting sqref="K7">
    <cfRule type="cellIs" dxfId="128" priority="1" operator="greaterThan">
      <formula>0</formula>
    </cfRule>
    <cfRule type="cellIs" dxfId="127" priority="2" operator="lessThan">
      <formula>0</formula>
    </cfRule>
  </conditionalFormatting>
  <conditionalFormatting sqref="L2:L6">
    <cfRule type="cellIs" dxfId="126" priority="5" operator="equal">
      <formula>"-"</formula>
    </cfRule>
    <cfRule type="cellIs" dxfId="125" priority="6" operator="greaterThan">
      <formula>0.1</formula>
    </cfRule>
    <cfRule type="cellIs" dxfId="12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AA111-5E1D-4B97-9693-D547B2E6E4CE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03/30/2026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(30th)</v>
      </c>
      <c r="B2" s="8">
        <v>0.28819444444444442</v>
      </c>
      <c r="C2" s="8">
        <v>0.48541666666666666</v>
      </c>
      <c r="D2" s="8">
        <v>0.51666666666666672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4.7333333333333343</v>
      </c>
      <c r="I2" s="11">
        <f>SUM(E2 - D2) * 24</f>
        <v>3.5999999999999979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(31st)</v>
      </c>
      <c r="B3" s="8">
        <v>0.28819444444444442</v>
      </c>
      <c r="C3" s="8">
        <v>0.50555555555555554</v>
      </c>
      <c r="D3" s="8">
        <v>0.53680555555555554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5.2166666666666668</v>
      </c>
      <c r="I3" s="11">
        <f>SUM(E3 - D3) * 24</f>
        <v>3.1166666666666663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>
        <v>0.28819444444444442</v>
      </c>
      <c r="C4" s="8">
        <v>0.54652777777777772</v>
      </c>
      <c r="D4" s="8">
        <v>0.57708333333333328</v>
      </c>
      <c r="E4" s="9">
        <v>0.66736111111111107</v>
      </c>
      <c r="F4" s="30">
        <f t="shared" si="0"/>
        <v>4</v>
      </c>
      <c r="G4" s="28"/>
      <c r="H4" s="10">
        <f t="shared" ref="H4:H5" si="2">SUM(C4 - B4) * 24</f>
        <v>6.1999999999999993</v>
      </c>
      <c r="I4" s="11">
        <f t="shared" ref="I4:I6" si="3">SUM(E4 - D4) * 24</f>
        <v>2.166666666666667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>
        <v>0.28819444444444442</v>
      </c>
      <c r="C5" s="8">
        <v>0.50902777777777775</v>
      </c>
      <c r="D5" s="8">
        <v>0.5395833333333333</v>
      </c>
      <c r="E5" s="9">
        <v>0.66666666666666663</v>
      </c>
      <c r="F5" s="30">
        <f t="shared" si="0"/>
        <v>4</v>
      </c>
      <c r="G5" s="28"/>
      <c r="H5" s="10">
        <f t="shared" si="2"/>
        <v>5.3</v>
      </c>
      <c r="I5" s="11">
        <f t="shared" si="3"/>
        <v>3.05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8">
        <v>0.28819444444444442</v>
      </c>
      <c r="C6" s="8">
        <v>0.49583333333333335</v>
      </c>
      <c r="D6" s="8">
        <v>0.52708333333333335</v>
      </c>
      <c r="E6" s="9">
        <v>0.66666666666666663</v>
      </c>
      <c r="F6" s="30">
        <f t="shared" si="0"/>
        <v>4</v>
      </c>
      <c r="G6" s="10"/>
      <c r="H6" s="10">
        <f>SUM(C6 - B6) * 24</f>
        <v>4.9833333333333343</v>
      </c>
      <c r="I6" s="11">
        <f t="shared" si="3"/>
        <v>3.3499999999999988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1.2833333333333319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23" priority="3" operator="greaterThan">
      <formula>3</formula>
    </cfRule>
    <cfRule type="cellIs" dxfId="122" priority="4" operator="lessThan">
      <formula>4</formula>
    </cfRule>
  </conditionalFormatting>
  <conditionalFormatting sqref="J2:J6">
    <cfRule type="cellIs" dxfId="121" priority="8" operator="greaterThan">
      <formula>7.99999999</formula>
    </cfRule>
    <cfRule type="cellIs" dxfId="120" priority="9" operator="lessThan">
      <formula>8</formula>
    </cfRule>
  </conditionalFormatting>
  <conditionalFormatting sqref="J7">
    <cfRule type="cellIs" dxfId="119" priority="10" operator="lessThan">
      <formula>40</formula>
    </cfRule>
    <cfRule type="cellIs" dxfId="118" priority="11" operator="greaterThan">
      <formula>39.999999</formula>
    </cfRule>
  </conditionalFormatting>
  <conditionalFormatting sqref="K7">
    <cfRule type="cellIs" dxfId="117" priority="1" operator="greaterThan">
      <formula>0</formula>
    </cfRule>
    <cfRule type="cellIs" dxfId="116" priority="2" operator="lessThan">
      <formula>0</formula>
    </cfRule>
  </conditionalFormatting>
  <conditionalFormatting sqref="L2:L6">
    <cfRule type="cellIs" dxfId="115" priority="5" operator="equal">
      <formula>"-"</formula>
    </cfRule>
    <cfRule type="cellIs" dxfId="114" priority="6" operator="greaterThan">
      <formula>0.1</formula>
    </cfRule>
    <cfRule type="cellIs" dxfId="11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2ECAE-46BA-4924-85FC-E83F2A7590E3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0.53611111111111109</v>
      </c>
      <c r="D2" s="8">
        <v>0.56736111111111109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5.95</v>
      </c>
      <c r="I2" s="11">
        <f>SUM(E2 - D2) * 24</f>
        <v>2.3833333333333329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0.51180555555555551</v>
      </c>
      <c r="D4" s="8">
        <v>0.54236111111111107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5.3666666666666663</v>
      </c>
      <c r="I4" s="11">
        <f t="shared" ref="I4:I6" si="3">SUM(E4 - D4) * 24</f>
        <v>2.9833333333333334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0.51249999999999996</v>
      </c>
      <c r="D5" s="8">
        <v>0.54236111111111107</v>
      </c>
      <c r="E5" s="9">
        <v>0.66666666666666663</v>
      </c>
      <c r="F5" s="30">
        <f t="shared" si="0"/>
        <v>4</v>
      </c>
      <c r="G5" s="28"/>
      <c r="H5" s="10">
        <f t="shared" si="2"/>
        <v>5.3833333333333329</v>
      </c>
      <c r="I5" s="11">
        <f t="shared" si="3"/>
        <v>2.9833333333333334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8">
        <v>0.28819444444444442</v>
      </c>
      <c r="C6" s="8">
        <v>0.52013888888888893</v>
      </c>
      <c r="D6" s="8">
        <v>0.55208333333333337</v>
      </c>
      <c r="E6" s="9">
        <v>0.66666666666666663</v>
      </c>
      <c r="F6" s="30">
        <f t="shared" si="0"/>
        <v>4</v>
      </c>
      <c r="G6" s="10"/>
      <c r="H6" s="10">
        <f>SUM(C6 - B6) * 24</f>
        <v>5.5666666666666682</v>
      </c>
      <c r="I6" s="11">
        <f t="shared" si="3"/>
        <v>2.7499999999999982</v>
      </c>
      <c r="J6" s="12">
        <f t="shared" si="1"/>
        <v>8.3166666666666664</v>
      </c>
      <c r="K6" s="13">
        <f t="shared" si="4"/>
        <v>46</v>
      </c>
      <c r="L6" s="14">
        <f>IF(AND((B6 &lt;&gt; ""), (C6 &lt;&gt; ""), (D6 &lt;&gt; ""), (E6 &lt;&gt; "")), IF((((8 - J6) * 60) + 1) &gt; 0, (((8 - J6) * 60) + 1), (((8 - J6) * 60) - 1)), "-")</f>
        <v>-19.999999999999986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12" priority="3" operator="greaterThan">
      <formula>3</formula>
    </cfRule>
    <cfRule type="cellIs" dxfId="111" priority="4" operator="lessThan">
      <formula>4</formula>
    </cfRule>
  </conditionalFormatting>
  <conditionalFormatting sqref="J2:J6">
    <cfRule type="cellIs" dxfId="110" priority="8" operator="greaterThan">
      <formula>7.99999999</formula>
    </cfRule>
    <cfRule type="cellIs" dxfId="109" priority="9" operator="lessThan">
      <formula>8</formula>
    </cfRule>
  </conditionalFormatting>
  <conditionalFormatting sqref="J7">
    <cfRule type="cellIs" dxfId="108" priority="10" operator="lessThan">
      <formula>40</formula>
    </cfRule>
    <cfRule type="cellIs" dxfId="107" priority="11" operator="greaterThan">
      <formula>39.999999</formula>
    </cfRule>
  </conditionalFormatting>
  <conditionalFormatting sqref="K7">
    <cfRule type="cellIs" dxfId="106" priority="1" operator="greaterThan">
      <formula>0</formula>
    </cfRule>
    <cfRule type="cellIs" dxfId="105" priority="2" operator="lessThan">
      <formula>0</formula>
    </cfRule>
  </conditionalFormatting>
  <conditionalFormatting sqref="L2:L6">
    <cfRule type="cellIs" dxfId="104" priority="5" operator="equal">
      <formula>"-"</formula>
    </cfRule>
    <cfRule type="cellIs" dxfId="103" priority="6" operator="greaterThan">
      <formula>0.1</formula>
    </cfRule>
    <cfRule type="cellIs" dxfId="10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CCED9-7C1F-4E5C-BB14-2542C55B392A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0.50138888888888888</v>
      </c>
      <c r="D2" s="8">
        <v>0.53263888888888888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5.1166666666666671</v>
      </c>
      <c r="I2" s="11">
        <f>SUM(E2 - D2) * 24</f>
        <v>3.2166666666666659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0.50069444444444444</v>
      </c>
      <c r="D3" s="8">
        <v>0.53263888888888888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3.2166666666666659</v>
      </c>
      <c r="J3" s="12">
        <f t="shared" ref="J3:J6" si="1">H3 + I3 + G3</f>
        <v>8.3166666666666664</v>
      </c>
      <c r="K3" s="13">
        <f>IF(AND(C3 &lt;&gt; "", D3 &lt;&gt; ""), (SUM(D3 - C3) * 1440), " - ")</f>
        <v>46</v>
      </c>
      <c r="L3" s="14">
        <f>IF(AND((B3 &lt;&gt; ""), (C3 &lt;&gt; ""), (D3 &lt;&gt; ""), (E3 &lt;&gt; "")), IF((((8 - J3) * 60) + 1) &gt; 0, (((8 - J3) * 60) + 1), (((8 - J3) * 60) - 1)), "-")</f>
        <v>-19.999999999999986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0.57986111111111116</v>
      </c>
      <c r="D4" s="8">
        <v>0.61041666666666672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7.0000000000000018</v>
      </c>
      <c r="I4" s="11">
        <f t="shared" ref="I4:I6" si="3">SUM(E4 - D4) * 24</f>
        <v>1.3499999999999979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0.28819444444444442</v>
      </c>
      <c r="C5" s="8">
        <v>0.50694444444444442</v>
      </c>
      <c r="D5" s="8">
        <v>0.53819444444444442</v>
      </c>
      <c r="E5" s="9">
        <v>0.66666666666666663</v>
      </c>
      <c r="F5" s="30">
        <f t="shared" si="0"/>
        <v>4</v>
      </c>
      <c r="G5" s="28"/>
      <c r="H5" s="10">
        <f t="shared" si="2"/>
        <v>5.25</v>
      </c>
      <c r="I5" s="11">
        <f t="shared" si="3"/>
        <v>3.083333333333333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0.50694444444444442</v>
      </c>
      <c r="D6" s="8">
        <v>0.53819444444444442</v>
      </c>
      <c r="E6" s="9">
        <v>0.66666666666666663</v>
      </c>
      <c r="F6" s="30">
        <f t="shared" si="0"/>
        <v>4</v>
      </c>
      <c r="G6" s="10"/>
      <c r="H6" s="10">
        <f>SUM(C6 - B6) * 24</f>
        <v>5.25</v>
      </c>
      <c r="I6" s="11">
        <f t="shared" si="3"/>
        <v>3.083333333333333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41.666666666666657</v>
      </c>
      <c r="K7" s="33">
        <f>((60*5) - SUM(K2:K6)) / 60</f>
        <v>1.25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-1.6666666666666572</v>
      </c>
      <c r="K9" s="26"/>
    </row>
    <row r="10" spans="1:13" ht="24" thickBot="1" x14ac:dyDescent="0.4">
      <c r="I10" s="32" t="s">
        <v>21</v>
      </c>
      <c r="J10" s="25">
        <f>IF(J7 &lt; 40, "-", J7-40)</f>
        <v>1.6666666666666572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01" priority="1" operator="greaterThan">
      <formula>3</formula>
    </cfRule>
    <cfRule type="cellIs" dxfId="100" priority="2" operator="lessThan">
      <formula>4</formula>
    </cfRule>
  </conditionalFormatting>
  <conditionalFormatting sqref="J2:J6">
    <cfRule type="cellIs" dxfId="99" priority="6" operator="greaterThan">
      <formula>7.99999999</formula>
    </cfRule>
    <cfRule type="cellIs" dxfId="98" priority="7" operator="lessThan">
      <formula>8</formula>
    </cfRule>
  </conditionalFormatting>
  <conditionalFormatting sqref="J7">
    <cfRule type="cellIs" dxfId="97" priority="8" operator="lessThan">
      <formula>40</formula>
    </cfRule>
    <cfRule type="cellIs" dxfId="96" priority="9" operator="greaterThan">
      <formula>39.999999</formula>
    </cfRule>
  </conditionalFormatting>
  <conditionalFormatting sqref="L2:L6">
    <cfRule type="cellIs" dxfId="95" priority="3" operator="equal">
      <formula>"-"</formula>
    </cfRule>
    <cfRule type="cellIs" dxfId="94" priority="4" operator="greaterThan">
      <formula>0.1</formula>
    </cfRule>
    <cfRule type="cellIs" dxfId="93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75678-8DD4-41DB-BC9F-367C263DFB6D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0.47916666666666669</v>
      </c>
      <c r="D2" s="8">
        <v>0.51527777777777772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4.5833333333333339</v>
      </c>
      <c r="I2" s="11">
        <f>SUM(E2 - D2) * 24</f>
        <v>3.6333333333333337</v>
      </c>
      <c r="J2" s="12">
        <f>H2 + I2 + G2</f>
        <v>8.2166666666666686</v>
      </c>
      <c r="K2" s="13">
        <f>IF(AND(C2 &lt;&gt; "", D2 &lt;&gt; ""), (SUM(D2 - C2) * 1440), " - ")</f>
        <v>51.999999999999893</v>
      </c>
      <c r="L2" s="14">
        <f>IF(AND((B2 &lt;&gt; ""), (C2 &lt;&gt; ""), (D2 &lt;&gt; ""), (E2 &lt;&gt; "")), IF((((8 - J2) * 60) + 1) &gt; 0, (((8 - J2) * 60) + 1), (((8 - J2) * 60) - 1)), "-")</f>
        <v>-14.000000000000114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0.52083333333333337</v>
      </c>
      <c r="D3" s="8">
        <v>0.55208333333333337</v>
      </c>
      <c r="E3" s="9">
        <v>0.66736111111111107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5.5833333333333348</v>
      </c>
      <c r="I3" s="11">
        <f>SUM(E3 - D3) * 24</f>
        <v>2.7666666666666648</v>
      </c>
      <c r="J3" s="12">
        <f t="shared" ref="J3:J6" si="1">H3 + I3 + G3</f>
        <v>8.35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0.28819444444444442</v>
      </c>
      <c r="C4" s="8">
        <v>0.54027777777777775</v>
      </c>
      <c r="D4" s="8">
        <v>0.5708333333333333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6.05</v>
      </c>
      <c r="I4" s="11">
        <f t="shared" ref="I4:I6" si="3">SUM(E4 - D4) * 24</f>
        <v>2.2999999999999998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0.28888888888888886</v>
      </c>
      <c r="C5" s="8">
        <v>0.49791666666666667</v>
      </c>
      <c r="D5" s="8">
        <v>0.52916666666666667</v>
      </c>
      <c r="E5" s="9">
        <v>0.625</v>
      </c>
      <c r="F5" s="30">
        <f t="shared" si="0"/>
        <v>4</v>
      </c>
      <c r="G5" s="28">
        <v>1</v>
      </c>
      <c r="H5" s="10">
        <f t="shared" si="2"/>
        <v>5.0166666666666675</v>
      </c>
      <c r="I5" s="11">
        <f t="shared" si="3"/>
        <v>2.2999999999999998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0.50208333333333333</v>
      </c>
      <c r="D6" s="8">
        <v>0.53263888888888888</v>
      </c>
      <c r="E6" s="9">
        <v>0.66666666666666663</v>
      </c>
      <c r="F6" s="30">
        <f t="shared" si="0"/>
        <v>4</v>
      </c>
      <c r="G6" s="10"/>
      <c r="H6" s="10">
        <f>SUM(C6 - B6) * 24</f>
        <v>5.1333333333333337</v>
      </c>
      <c r="I6" s="11">
        <f t="shared" si="3"/>
        <v>3.2166666666666659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41.583333333333336</v>
      </c>
      <c r="K7" s="33">
        <f>((60*5) - SUM(K2:K6)) / 60</f>
        <v>1.1666666666666685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-1.5833333333333357</v>
      </c>
      <c r="K9" s="26"/>
    </row>
    <row r="10" spans="1:13" ht="24" thickBot="1" x14ac:dyDescent="0.4">
      <c r="I10" s="32" t="s">
        <v>21</v>
      </c>
      <c r="J10" s="25">
        <f>IF(J7 &lt; 40, "-", J7-40)</f>
        <v>1.5833333333333357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92" priority="1" operator="greaterThan">
      <formula>3</formula>
    </cfRule>
    <cfRule type="cellIs" dxfId="91" priority="2" operator="lessThan">
      <formula>4</formula>
    </cfRule>
  </conditionalFormatting>
  <conditionalFormatting sqref="J2:J6">
    <cfRule type="cellIs" dxfId="90" priority="6" operator="greaterThan">
      <formula>7.99999999</formula>
    </cfRule>
    <cfRule type="cellIs" dxfId="89" priority="7" operator="lessThan">
      <formula>8</formula>
    </cfRule>
  </conditionalFormatting>
  <conditionalFormatting sqref="J7">
    <cfRule type="cellIs" dxfId="88" priority="8" operator="lessThan">
      <formula>40</formula>
    </cfRule>
    <cfRule type="cellIs" dxfId="87" priority="9" operator="greaterThan">
      <formula>39.999999</formula>
    </cfRule>
  </conditionalFormatting>
  <conditionalFormatting sqref="L2:L6">
    <cfRule type="cellIs" dxfId="86" priority="3" operator="equal">
      <formula>"-"</formula>
    </cfRule>
    <cfRule type="cellIs" dxfId="85" priority="4" operator="greaterThan">
      <formula>0.1</formula>
    </cfRule>
    <cfRule type="cellIs" dxfId="84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D6F94-B8B8-465C-9353-6F78C34B9117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0.55208333333333337</v>
      </c>
      <c r="D2" s="8">
        <v>0.57638888888888884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6.3333333333333348</v>
      </c>
      <c r="I2" s="11">
        <f>SUM(E2 - D2) * 24</f>
        <v>2.166666666666667</v>
      </c>
      <c r="J2" s="12">
        <f>H2 + I2 + G2</f>
        <v>8.5000000000000018</v>
      </c>
      <c r="K2" s="13">
        <f>IF(AND(C2 &lt;&gt; "", D2 &lt;&gt; ""), (SUM(D2 - C2) * 1440), " - ")</f>
        <v>34.999999999999872</v>
      </c>
      <c r="L2" s="14">
        <f>IF(AND((B2 &lt;&gt; ""), (C2 &lt;&gt; ""), (D2 &lt;&gt; ""), (E2 &lt;&gt; "")), IF((((8 - J2) * 60) + 1) &gt; 0, (((8 - J2) * 60) + 1), (((8 - J2) * 60) - 1)), "-")</f>
        <v>-31.000000000000107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0.28819444444444442</v>
      </c>
      <c r="C3" s="8">
        <v>0.50763888888888886</v>
      </c>
      <c r="D3" s="8">
        <v>0.53888888888888886</v>
      </c>
      <c r="E3" s="9">
        <v>0.66805555555555551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5.2666666666666666</v>
      </c>
      <c r="I3" s="11">
        <f>SUM(E3 - D3) * 24</f>
        <v>3.0999999999999996</v>
      </c>
      <c r="J3" s="12">
        <f t="shared" ref="J3:J6" si="1">H3 + I3 + G3</f>
        <v>8.3666666666666671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0.51527777777777772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5.4499999999999993</v>
      </c>
      <c r="I4" s="11">
        <f t="shared" ref="I4:I6" si="3">SUM(E4 - D4) * 24</f>
        <v>2.916666666666667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0.48819444444444443</v>
      </c>
      <c r="D5" s="8">
        <v>0.51875000000000004</v>
      </c>
      <c r="E5" s="9">
        <v>0.66666666666666663</v>
      </c>
      <c r="F5" s="30">
        <f t="shared" si="0"/>
        <v>4</v>
      </c>
      <c r="G5" s="28"/>
      <c r="H5" s="10">
        <f t="shared" si="2"/>
        <v>4.8000000000000007</v>
      </c>
      <c r="I5" s="11">
        <f t="shared" si="3"/>
        <v>3.549999999999998</v>
      </c>
      <c r="J5" s="12">
        <f t="shared" si="1"/>
        <v>8.3499999999999979</v>
      </c>
      <c r="K5" s="13">
        <f t="shared" si="4"/>
        <v>44.000000000000085</v>
      </c>
      <c r="L5" s="14">
        <f t="shared" si="5"/>
        <v>-21.999999999999872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0.28819444444444442</v>
      </c>
      <c r="C6" s="8">
        <v>0.45763888888888887</v>
      </c>
      <c r="D6" s="8">
        <v>0.48819444444444443</v>
      </c>
      <c r="E6" s="9">
        <v>0.66666666666666663</v>
      </c>
      <c r="F6" s="30">
        <f t="shared" si="0"/>
        <v>4</v>
      </c>
      <c r="G6" s="10"/>
      <c r="H6" s="10">
        <f>SUM(C6 - B6) * 24</f>
        <v>4.0666666666666664</v>
      </c>
      <c r="I6" s="11">
        <f t="shared" si="3"/>
        <v>4.2833333333333332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41.93333333333333</v>
      </c>
      <c r="K7" s="33">
        <f>((60*5) - SUM(K2:K6)) / 60</f>
        <v>1.4833333333333338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-1.93333333333333</v>
      </c>
      <c r="K9" s="26"/>
    </row>
    <row r="10" spans="1:13" ht="24" thickBot="1" x14ac:dyDescent="0.4">
      <c r="I10" s="32" t="s">
        <v>21</v>
      </c>
      <c r="J10" s="25">
        <f>IF(J7 &lt; 40, "-", J7-40)</f>
        <v>1.93333333333333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83" priority="1" operator="greaterThan">
      <formula>3</formula>
    </cfRule>
    <cfRule type="cellIs" dxfId="82" priority="2" operator="lessThan">
      <formula>4</formula>
    </cfRule>
  </conditionalFormatting>
  <conditionalFormatting sqref="J2:J6">
    <cfRule type="cellIs" dxfId="81" priority="6" operator="greaterThan">
      <formula>7.99999999</formula>
    </cfRule>
    <cfRule type="cellIs" dxfId="80" priority="7" operator="lessThan">
      <formula>8</formula>
    </cfRule>
  </conditionalFormatting>
  <conditionalFormatting sqref="J7">
    <cfRule type="cellIs" dxfId="79" priority="8" operator="lessThan">
      <formula>40</formula>
    </cfRule>
    <cfRule type="cellIs" dxfId="78" priority="9" operator="greaterThan">
      <formula>39.999999</formula>
    </cfRule>
  </conditionalFormatting>
  <conditionalFormatting sqref="L2:L6">
    <cfRule type="cellIs" dxfId="77" priority="3" operator="equal">
      <formula>"-"</formula>
    </cfRule>
    <cfRule type="cellIs" dxfId="76" priority="4" operator="greaterThan">
      <formula>0.1</formula>
    </cfRule>
    <cfRule type="cellIs" dxfId="75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2D25-AB37-4043-9F9F-6F62C5CF4383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0.52222222222222225</v>
      </c>
      <c r="D2" s="8">
        <v>0.55277777777777781</v>
      </c>
      <c r="E2" s="9">
        <v>0.625</v>
      </c>
      <c r="F2" s="30">
        <f>COUNT(B2:E2)</f>
        <v>4</v>
      </c>
      <c r="G2" s="10"/>
      <c r="H2" s="10">
        <f>SUM(C2 - B2) * 24</f>
        <v>5.616666666666668</v>
      </c>
      <c r="I2" s="11">
        <f>SUM(E2 - D2) * 24</f>
        <v>1.7333333333333325</v>
      </c>
      <c r="J2" s="12">
        <f>H2 + I2 + G2</f>
        <v>7.3500000000000005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39.999999999999972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0.50069444444444444</v>
      </c>
      <c r="D3" s="8">
        <v>0.53125</v>
      </c>
      <c r="E3" s="9">
        <v>0.66666666666666663</v>
      </c>
      <c r="F3" s="30">
        <f t="shared" ref="F3:F5" si="0">COUNT(B3:E3)</f>
        <v>4</v>
      </c>
      <c r="G3" s="10"/>
      <c r="H3" s="10">
        <f>SUM(C3 - B3) * 24</f>
        <v>5.1000000000000005</v>
      </c>
      <c r="I3" s="11">
        <f>SUM(E3 - D3) * 24</f>
        <v>3.2499999999999991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0.54236111111111107</v>
      </c>
      <c r="D4" s="8">
        <v>0.57291666666666663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6.1</v>
      </c>
      <c r="I4" s="11">
        <f t="shared" ref="I4:I6" si="3">SUM(E4 - D4) * 24</f>
        <v>2.25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0.52013888888888893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5.5666666666666682</v>
      </c>
      <c r="I5" s="11">
        <f t="shared" si="3"/>
        <v>2.7833333333333314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27"/>
      <c r="C6" s="27"/>
      <c r="D6" s="27"/>
      <c r="E6" s="31"/>
      <c r="F6" s="30">
        <f>IF(G6 = 8, 4, IF(G6 = 4, 2, COUNT(B6:E6)))</f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-0.39999999999999858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74" priority="1" operator="greaterThan">
      <formula>3</formula>
    </cfRule>
    <cfRule type="cellIs" dxfId="73" priority="2" operator="lessThan">
      <formula>4</formula>
    </cfRule>
  </conditionalFormatting>
  <conditionalFormatting sqref="J2:J6">
    <cfRule type="cellIs" dxfId="72" priority="6" operator="greaterThan">
      <formula>7.99999999</formula>
    </cfRule>
    <cfRule type="cellIs" dxfId="71" priority="7" operator="lessThan">
      <formula>8</formula>
    </cfRule>
  </conditionalFormatting>
  <conditionalFormatting sqref="J7">
    <cfRule type="cellIs" dxfId="70" priority="8" operator="lessThan">
      <formula>40</formula>
    </cfRule>
    <cfRule type="cellIs" dxfId="69" priority="9" operator="greaterThan">
      <formula>39.999999</formula>
    </cfRule>
  </conditionalFormatting>
  <conditionalFormatting sqref="L2:L6">
    <cfRule type="cellIs" dxfId="68" priority="3" operator="equal">
      <formula>"-"</formula>
    </cfRule>
    <cfRule type="cellIs" dxfId="67" priority="4" operator="greaterThan">
      <formula>0.1</formula>
    </cfRule>
    <cfRule type="cellIs" dxfId="66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B208D-7788-4F4C-BA6F-08A0CD669B15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0.55902777777777779</v>
      </c>
      <c r="D2" s="8">
        <v>0.58958333333333335</v>
      </c>
      <c r="E2" s="9">
        <v>0.66666666666666663</v>
      </c>
      <c r="F2" s="30">
        <f>COUNT(B2:E2)</f>
        <v>4</v>
      </c>
      <c r="G2" s="10"/>
      <c r="H2" s="10">
        <f>SUM(C2 - B2) * 24</f>
        <v>6.5000000000000009</v>
      </c>
      <c r="I2" s="11">
        <f>SUM(E2 - D2) * 24</f>
        <v>1.8499999999999988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0.47708333333333336</v>
      </c>
      <c r="D3" s="8">
        <v>0.50763888888888886</v>
      </c>
      <c r="E3" s="9">
        <v>0.66666666666666663</v>
      </c>
      <c r="F3" s="30">
        <f t="shared" ref="F3:F6" si="0">COUNT(B3:E3)</f>
        <v>4</v>
      </c>
      <c r="G3" s="10"/>
      <c r="H3" s="10">
        <f>SUM(C3 - B3) * 24</f>
        <v>4.533333333333335</v>
      </c>
      <c r="I3" s="11">
        <f>SUM(E3 - D3) * 24</f>
        <v>3.8166666666666664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0.54166666666666663</v>
      </c>
      <c r="D4" s="8">
        <v>0.57222222222222219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6.083333333333333</v>
      </c>
      <c r="I4" s="11">
        <f t="shared" ref="I4:I6" si="3">SUM(E4 - D4) * 24</f>
        <v>2.2666666666666666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0.28749999999999998</v>
      </c>
      <c r="C5" s="8">
        <v>0.5</v>
      </c>
      <c r="D5" s="8">
        <v>0.53055555555555556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3.2666666666666657</v>
      </c>
      <c r="J5" s="12">
        <f t="shared" si="1"/>
        <v>8.3666666666666671</v>
      </c>
      <c r="K5" s="13">
        <f t="shared" si="4"/>
        <v>44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0.53819444444444442</v>
      </c>
      <c r="D6" s="8">
        <v>0.56944444444444442</v>
      </c>
      <c r="E6" s="9">
        <v>0.66666666666666663</v>
      </c>
      <c r="F6" s="30">
        <f t="shared" si="0"/>
        <v>4</v>
      </c>
      <c r="G6" s="10"/>
      <c r="H6" s="10">
        <f>SUM(C6 - B6) * 24</f>
        <v>6</v>
      </c>
      <c r="I6" s="11">
        <f t="shared" si="3"/>
        <v>2.333333333333333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41.75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-1.75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65" priority="1" operator="greaterThan">
      <formula>3</formula>
    </cfRule>
    <cfRule type="cellIs" dxfId="64" priority="2" operator="lessThan">
      <formula>4</formula>
    </cfRule>
  </conditionalFormatting>
  <conditionalFormatting sqref="J2:J6">
    <cfRule type="cellIs" dxfId="63" priority="6" operator="greaterThan">
      <formula>7.99999999</formula>
    </cfRule>
    <cfRule type="cellIs" dxfId="62" priority="7" operator="lessThan">
      <formula>8</formula>
    </cfRule>
  </conditionalFormatting>
  <conditionalFormatting sqref="J7">
    <cfRule type="cellIs" dxfId="61" priority="8" operator="lessThan">
      <formula>40</formula>
    </cfRule>
    <cfRule type="cellIs" dxfId="60" priority="9" operator="greaterThan">
      <formula>39.999999</formula>
    </cfRule>
  </conditionalFormatting>
  <conditionalFormatting sqref="L2:L6">
    <cfRule type="cellIs" dxfId="59" priority="3" operator="equal">
      <formula>"-"</formula>
    </cfRule>
    <cfRule type="cellIs" dxfId="58" priority="4" operator="greaterThan">
      <formula>0.1</formula>
    </cfRule>
    <cfRule type="cellIs" dxfId="57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6AF6C-2FD4-4B22-9D2F-E02D7E857044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0.49861111111111112</v>
      </c>
      <c r="D2" s="8">
        <v>0.52916666666666667</v>
      </c>
      <c r="E2" s="9">
        <v>0.66666666666666663</v>
      </c>
      <c r="F2" s="30">
        <f>COUNT(B2:E2)</f>
        <v>4</v>
      </c>
      <c r="G2" s="10"/>
      <c r="H2" s="10">
        <f>SUM(C2 - B2) * 24</f>
        <v>5.0500000000000007</v>
      </c>
      <c r="I2" s="11">
        <f>SUM(E2 - D2) * 24</f>
        <v>3.2999999999999989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0.49861111111111112</v>
      </c>
      <c r="D3" s="8">
        <v>0.52916666666666667</v>
      </c>
      <c r="E3" s="9">
        <v>0.66666666666666663</v>
      </c>
      <c r="F3" s="30">
        <f t="shared" ref="F3:F6" si="0">COUNT(B3:E3)</f>
        <v>4</v>
      </c>
      <c r="G3" s="11"/>
      <c r="H3" s="10">
        <f>SUM(C3 - B3) * 24</f>
        <v>5.0500000000000007</v>
      </c>
      <c r="I3" s="11">
        <f>SUM(E3 - D3) * 24</f>
        <v>3.2999999999999989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0.28888888888888886</v>
      </c>
      <c r="C4" s="8">
        <v>0.53333333333333333</v>
      </c>
      <c r="D4" s="8">
        <v>0.56388888888888888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5.8666666666666671</v>
      </c>
      <c r="I4" s="11">
        <f t="shared" ref="I4:I6" si="3">SUM(E4 - D4) * 24</f>
        <v>2.4666666666666659</v>
      </c>
      <c r="J4" s="12">
        <f t="shared" si="1"/>
        <v>8.3333333333333321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0.28749999999999998</v>
      </c>
      <c r="C5" s="8">
        <v>0.50138888888888888</v>
      </c>
      <c r="D5" s="8">
        <v>0.53125</v>
      </c>
      <c r="E5" s="9">
        <v>0.66666666666666663</v>
      </c>
      <c r="F5" s="30">
        <f t="shared" si="0"/>
        <v>4</v>
      </c>
      <c r="G5" s="17"/>
      <c r="H5" s="10">
        <f t="shared" si="2"/>
        <v>5.1333333333333337</v>
      </c>
      <c r="I5" s="11">
        <f t="shared" si="3"/>
        <v>3.2499999999999991</v>
      </c>
      <c r="J5" s="12">
        <f t="shared" si="1"/>
        <v>8.3833333333333329</v>
      </c>
      <c r="K5" s="13">
        <f t="shared" si="4"/>
        <v>43.000000000000007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0.47986111111111113</v>
      </c>
      <c r="D6" s="8">
        <v>0.51041666666666663</v>
      </c>
      <c r="E6" s="9">
        <v>0.66666666666666663</v>
      </c>
      <c r="F6" s="30">
        <f t="shared" si="0"/>
        <v>4</v>
      </c>
      <c r="G6" s="11"/>
      <c r="H6" s="10">
        <f>SUM(C6 - B6) * 24</f>
        <v>4.6000000000000014</v>
      </c>
      <c r="I6" s="11">
        <f t="shared" si="3"/>
        <v>3.75</v>
      </c>
      <c r="J6" s="12">
        <f t="shared" si="1"/>
        <v>8.3500000000000014</v>
      </c>
      <c r="K6" s="13">
        <f t="shared" si="4"/>
        <v>43.999999999999922</v>
      </c>
      <c r="L6" s="14">
        <f>IF(AND((B6 &lt;&gt; ""), (C6 &lt;&gt; ""), (D6 &lt;&gt; ""), (E6 &lt;&gt; "")), IF((((8 - J6) * 60) + 1) &gt; 0, (((8 - J6) * 60) + 1), (((8 - J6) * 60) - 1)), "-")</f>
        <v>-22.000000000000085</v>
      </c>
    </row>
    <row r="7" spans="1:13" ht="36.75" thickBot="1" x14ac:dyDescent="0.6">
      <c r="B7" s="19"/>
      <c r="I7" s="21" t="s">
        <v>10</v>
      </c>
      <c r="J7" s="22">
        <f>SUM(J2:J6)</f>
        <v>41.766666666666666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-1.7666666666666657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56" priority="1" operator="greaterThan">
      <formula>3</formula>
    </cfRule>
    <cfRule type="cellIs" dxfId="55" priority="2" operator="lessThan">
      <formula>4</formula>
    </cfRule>
  </conditionalFormatting>
  <conditionalFormatting sqref="J2:J6">
    <cfRule type="cellIs" dxfId="54" priority="6" operator="greaterThan">
      <formula>7.99999999</formula>
    </cfRule>
    <cfRule type="cellIs" dxfId="53" priority="7" operator="lessThan">
      <formula>8</formula>
    </cfRule>
  </conditionalFormatting>
  <conditionalFormatting sqref="J7">
    <cfRule type="cellIs" dxfId="52" priority="8" operator="lessThan">
      <formula>40</formula>
    </cfRule>
    <cfRule type="cellIs" dxfId="51" priority="9" operator="greaterThan">
      <formula>39.999999</formula>
    </cfRule>
  </conditionalFormatting>
  <conditionalFormatting sqref="L2:L6">
    <cfRule type="cellIs" dxfId="50" priority="3" operator="equal">
      <formula>"-"</formula>
    </cfRule>
    <cfRule type="cellIs" dxfId="49" priority="4" operator="greaterThan">
      <formula>0.1</formula>
    </cfRule>
    <cfRule type="cellIs" dxfId="48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F8F3-7578-415F-8E55-F8837A247A0F}">
  <dimension ref="A1:M25"/>
  <sheetViews>
    <sheetView zoomScale="85" zoomScaleNormal="85" workbookViewId="0"/>
  </sheetViews>
  <sheetFormatPr defaultRowHeight="23.25" x14ac:dyDescent="0.35"/>
  <cols>
    <col min="1" max="1" width="16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0.54722222222222228</v>
      </c>
      <c r="D2" s="8">
        <v>0.57638888888888884</v>
      </c>
      <c r="E2" s="9">
        <v>0.66666666666666663</v>
      </c>
      <c r="F2" s="30">
        <f>COUNT(B2:E2)</f>
        <v>4</v>
      </c>
      <c r="G2" s="10"/>
      <c r="H2" s="10">
        <f>SUM(C2 - B2) * 24</f>
        <v>6.2166666666666686</v>
      </c>
      <c r="I2" s="11">
        <f>SUM(E2 - D2) * 24</f>
        <v>2.166666666666667</v>
      </c>
      <c r="J2" s="12">
        <f>H2 + I2 + G2</f>
        <v>8.3833333333333364</v>
      </c>
      <c r="K2" s="13">
        <f>IF(AND(C2 &lt;&gt; "", D2 &lt;&gt; ""), (SUM(D2 - C2) * 1440), " - ")</f>
        <v>41.999999999999851</v>
      </c>
      <c r="L2" s="14">
        <f>IF(AND((B2 &lt;&gt; ""), (C2 &lt;&gt; ""), (D2 &lt;&gt; ""), (E2 &lt;&gt; "")), IF((((8 - J2) * 60) + 1) &gt; 0, (((8 - J2) * 60) + 1), (((8 - J2) * 60) - 1)), "-")</f>
        <v>-24.000000000000185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0.29236111111111113</v>
      </c>
      <c r="C3" s="8">
        <v>0.55694444444444446</v>
      </c>
      <c r="D3" s="8">
        <v>0.58680555555555558</v>
      </c>
      <c r="E3" s="9">
        <v>0.66666666666666663</v>
      </c>
      <c r="F3" s="30">
        <f t="shared" ref="F3:F5" si="0">COUNT(B3:E3)</f>
        <v>4</v>
      </c>
      <c r="G3" s="11"/>
      <c r="H3" s="10">
        <f>SUM(C3 - B3) * 24</f>
        <v>6.35</v>
      </c>
      <c r="I3" s="11">
        <f>SUM(E3 - D3) * 24</f>
        <v>1.9166666666666652</v>
      </c>
      <c r="J3" s="12">
        <f t="shared" ref="J3:J6" si="1">H3 + I3 + G3</f>
        <v>8.2666666666666657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-16.999999999999943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0.54652777777777772</v>
      </c>
      <c r="D4" s="8">
        <v>0.57777777777777772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6.1999999999999993</v>
      </c>
      <c r="I4" s="11">
        <f t="shared" ref="I4:I6" si="3">SUM(E4 - D4) * 24</f>
        <v>2.1333333333333337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0.48888888888888887</v>
      </c>
      <c r="D5" s="8">
        <v>0.51875000000000004</v>
      </c>
      <c r="E5" s="9">
        <v>0.66666666666666663</v>
      </c>
      <c r="F5" s="30">
        <f t="shared" si="0"/>
        <v>4</v>
      </c>
      <c r="G5" s="17"/>
      <c r="H5" s="10">
        <f t="shared" si="2"/>
        <v>4.8166666666666664</v>
      </c>
      <c r="I5" s="11">
        <f t="shared" si="3"/>
        <v>3.549999999999998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0.29166666666666669</v>
      </c>
      <c r="C6" s="27"/>
      <c r="D6" s="27"/>
      <c r="E6" s="9">
        <v>0.45833333333333331</v>
      </c>
      <c r="F6" s="30">
        <f>COUNT(B6:E6)</f>
        <v>2</v>
      </c>
      <c r="G6" s="11">
        <v>4</v>
      </c>
      <c r="H6" s="10">
        <f>SUM(C6 - B6) * 24</f>
        <v>-7</v>
      </c>
      <c r="I6" s="11">
        <f t="shared" si="3"/>
        <v>11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41.349999999999994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-1.3499999999999943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7" priority="1" operator="greaterThan">
      <formula>3</formula>
    </cfRule>
    <cfRule type="cellIs" dxfId="46" priority="2" operator="lessThan">
      <formula>4</formula>
    </cfRule>
  </conditionalFormatting>
  <conditionalFormatting sqref="J2:J6">
    <cfRule type="cellIs" dxfId="45" priority="6" operator="greaterThan">
      <formula>7.99999999</formula>
    </cfRule>
    <cfRule type="cellIs" dxfId="44" priority="7" operator="lessThan">
      <formula>8</formula>
    </cfRule>
  </conditionalFormatting>
  <conditionalFormatting sqref="J7">
    <cfRule type="cellIs" dxfId="43" priority="8" operator="lessThan">
      <formula>40</formula>
    </cfRule>
    <cfRule type="cellIs" dxfId="42" priority="9" operator="greaterThan">
      <formula>39.999999</formula>
    </cfRule>
  </conditionalFormatting>
  <conditionalFormatting sqref="L2:L6">
    <cfRule type="cellIs" dxfId="41" priority="3" operator="equal">
      <formula>"-"</formula>
    </cfRule>
    <cfRule type="cellIs" dxfId="40" priority="4" operator="greaterThan">
      <formula>0.1</formula>
    </cfRule>
    <cfRule type="cellIs" dxfId="39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931C-AA06-4404-8DD2-3A1635928042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01/26/2026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(26th)</v>
      </c>
      <c r="B2" s="8">
        <v>0.29236111111111113</v>
      </c>
      <c r="C2" s="8">
        <v>0.47847222222222224</v>
      </c>
      <c r="D2" s="8">
        <v>0.5083333333333333</v>
      </c>
      <c r="E2" s="9">
        <v>0.66666666666666663</v>
      </c>
      <c r="F2" s="10"/>
      <c r="G2" s="10">
        <f>SUM(C2 - B2) * 24</f>
        <v>4.4666666666666668</v>
      </c>
      <c r="H2" s="11">
        <f>SUM(E2 - D2) * 24</f>
        <v>3.8</v>
      </c>
      <c r="I2" s="12">
        <f>G2 + H2 + F2</f>
        <v>8.2666666666666657</v>
      </c>
      <c r="J2" s="13">
        <f>IF(AND(C2 &lt;&gt; "", D2 &lt;&gt; ""), (SUM(D2 - C2) * 1440), " - ")</f>
        <v>42.999999999999929</v>
      </c>
      <c r="K2" s="14">
        <f>IF(AND((B2 &lt;&gt; ""), (C2 &lt;&gt; ""), (D2 &lt;&gt; ""), (E2 &lt;&gt; "")), IF((((8 - I2) * 60) + 1) &gt; 0, (((8 - I2) * 60) + 1), (((8 - I2) * 60) - 1)), "-")</f>
        <v>-16.999999999999943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(27th)</v>
      </c>
      <c r="B3" s="8">
        <v>0.28819444444444442</v>
      </c>
      <c r="C3" s="8">
        <v>0.54861111111111116</v>
      </c>
      <c r="D3" s="8">
        <v>0.57847222222222228</v>
      </c>
      <c r="E3" s="9">
        <v>0.66666666666666663</v>
      </c>
      <c r="F3" s="11"/>
      <c r="G3" s="10">
        <f>SUM(C3 - B3) * 24</f>
        <v>6.2500000000000018</v>
      </c>
      <c r="H3" s="11">
        <f>SUM(E3 - D3) * 24</f>
        <v>2.1166666666666645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(28th)</v>
      </c>
      <c r="B4" s="8">
        <v>0.28819444444444442</v>
      </c>
      <c r="C4" s="8">
        <v>0.55208333333333337</v>
      </c>
      <c r="D4" s="8">
        <v>0.58263888888888893</v>
      </c>
      <c r="E4" s="9">
        <v>0.66666666666666663</v>
      </c>
      <c r="F4" s="17"/>
      <c r="G4" s="10">
        <f t="shared" ref="G4:G5" si="1">SUM(C4 - B4) * 24</f>
        <v>6.3333333333333348</v>
      </c>
      <c r="H4" s="11">
        <f t="shared" ref="H4:H6" si="2">SUM(E4 - D4) * 24</f>
        <v>2.0166666666666648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(29th)</v>
      </c>
      <c r="B5" s="8">
        <v>0.28819444444444442</v>
      </c>
      <c r="C5" s="8">
        <v>0.50416666666666665</v>
      </c>
      <c r="D5" s="8">
        <v>0.53472222222222221</v>
      </c>
      <c r="E5" s="9">
        <v>0.66666666666666663</v>
      </c>
      <c r="F5" s="17"/>
      <c r="G5" s="10">
        <f t="shared" si="1"/>
        <v>5.1833333333333336</v>
      </c>
      <c r="H5" s="11">
        <f t="shared" si="2"/>
        <v>3.1666666666666661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(30th)</v>
      </c>
      <c r="B6" s="8">
        <v>0.28888888888888886</v>
      </c>
      <c r="C6" s="8">
        <v>0.52361111111111114</v>
      </c>
      <c r="D6" s="8">
        <v>0.55347222222222225</v>
      </c>
      <c r="E6" s="9">
        <v>0.66666666666666663</v>
      </c>
      <c r="F6" s="11"/>
      <c r="G6" s="10">
        <f>SUM(C6 - B6) * 24</f>
        <v>5.6333333333333346</v>
      </c>
      <c r="H6" s="11">
        <f t="shared" si="2"/>
        <v>2.716666666666665</v>
      </c>
      <c r="I6" s="12">
        <f t="shared" si="0"/>
        <v>8.35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41.683333333333337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-1.6833333333333371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38" priority="4" operator="greaterThan">
      <formula>7.99999999</formula>
    </cfRule>
    <cfRule type="cellIs" dxfId="37" priority="5" operator="lessThan">
      <formula>8</formula>
    </cfRule>
  </conditionalFormatting>
  <conditionalFormatting sqref="I7">
    <cfRule type="cellIs" dxfId="36" priority="6" operator="lessThan">
      <formula>40</formula>
    </cfRule>
    <cfRule type="cellIs" dxfId="35" priority="7" operator="greaterThan">
      <formula>39.999999</formula>
    </cfRule>
  </conditionalFormatting>
  <conditionalFormatting sqref="K2:K6">
    <cfRule type="cellIs" dxfId="34" priority="1" operator="equal">
      <formula>"-"</formula>
    </cfRule>
    <cfRule type="cellIs" dxfId="33" priority="2" operator="greaterThan">
      <formula>0.1</formula>
    </cfRule>
    <cfRule type="cellIs" dxfId="32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9BACA-BE7E-4E29-8B4C-6183BB3FCDD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01/19/2026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(19th)</v>
      </c>
      <c r="B2" s="8">
        <v>0.28819444444444442</v>
      </c>
      <c r="C2" s="8">
        <v>0.52083333333333337</v>
      </c>
      <c r="D2" s="8">
        <v>0.55069444444444449</v>
      </c>
      <c r="E2" s="9">
        <v>0.66666666666666663</v>
      </c>
      <c r="F2" s="10"/>
      <c r="G2" s="10">
        <f>SUM(C2 - B2) * 24</f>
        <v>5.5833333333333348</v>
      </c>
      <c r="H2" s="11">
        <f>SUM(E2 - D2) * 24</f>
        <v>2.7833333333333314</v>
      </c>
      <c r="I2" s="12">
        <f>G2 + H2 + F2</f>
        <v>8.3666666666666671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-23.000000000000028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(20th)</v>
      </c>
      <c r="B3" s="8">
        <v>0.29444444444444445</v>
      </c>
      <c r="C3" s="8">
        <v>0.48333333333333334</v>
      </c>
      <c r="D3" s="8">
        <v>0.51388888888888884</v>
      </c>
      <c r="E3" s="9">
        <v>0.66666666666666663</v>
      </c>
      <c r="F3" s="11"/>
      <c r="G3" s="10">
        <f>SUM(C3 - B3) * 24</f>
        <v>4.5333333333333332</v>
      </c>
      <c r="H3" s="11">
        <f>SUM(E3 - D3) * 24</f>
        <v>3.666666666666667</v>
      </c>
      <c r="I3" s="12">
        <f t="shared" ref="I3:I6" si="0">G3 + H3 + F3</f>
        <v>8.1999999999999993</v>
      </c>
      <c r="J3" s="13">
        <f>IF(AND(C3 &lt;&gt; "", D3 &lt;&gt; ""), (SUM(D3 - C3) * 1440), " - ")</f>
        <v>43.999999999999922</v>
      </c>
      <c r="K3" s="14">
        <f>IF(AND((B3 &lt;&gt; ""), (C3 &lt;&gt; ""), (D3 &lt;&gt; ""), (E3 &lt;&gt; "")), IF((((8 - I3) * 60) + 1) &gt; 0, (((8 - I3) * 60) + 1), (((8 - I3) * 60) - 1)), "-")</f>
        <v>-12.999999999999957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(21st)</v>
      </c>
      <c r="B4" s="8">
        <v>0.2902777777777778</v>
      </c>
      <c r="C4" s="8">
        <v>0.53819444444444442</v>
      </c>
      <c r="D4" s="8">
        <v>0.56736111111111109</v>
      </c>
      <c r="E4" s="9">
        <v>0.66666666666666663</v>
      </c>
      <c r="F4" s="17"/>
      <c r="G4" s="10">
        <f t="shared" ref="G4:G5" si="1">SUM(C4 - B4) * 24</f>
        <v>5.9499999999999993</v>
      </c>
      <c r="H4" s="11">
        <f t="shared" ref="H4:H6" si="2">SUM(E4 - D4) * 24</f>
        <v>2.3833333333333329</v>
      </c>
      <c r="I4" s="12">
        <f t="shared" si="0"/>
        <v>8.3333333333333321</v>
      </c>
      <c r="J4" s="13">
        <f t="shared" ref="J4:J6" si="3">IF(AND(C4 &lt;&gt; "", D4 &lt;&gt; ""), (SUM(D4 - C4) * 1440), " - ")</f>
        <v>42.000000000000014</v>
      </c>
      <c r="K4" s="14">
        <f t="shared" ref="K4:K5" si="4">IF(AND((B4 &lt;&gt; ""), (C4 &lt;&gt; ""), (D4 &lt;&gt; ""), (E4 &lt;&gt; "")), IF((((8 - I4) * 60) + 1) &gt; 0, (((8 - I4) * 60) + 1), (((8 - I4) * 60) - 1)), "-")</f>
        <v>-20.999999999999929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(22nd)</v>
      </c>
      <c r="B5" s="8">
        <v>0.28819444444444442</v>
      </c>
      <c r="C5" s="8">
        <v>0.56597222222222221</v>
      </c>
      <c r="D5" s="8">
        <v>0.59583333333333333</v>
      </c>
      <c r="E5" s="9">
        <v>0.66666666666666663</v>
      </c>
      <c r="F5" s="17"/>
      <c r="G5" s="10">
        <f t="shared" si="1"/>
        <v>6.666666666666667</v>
      </c>
      <c r="H5" s="11">
        <f t="shared" si="2"/>
        <v>1.6999999999999993</v>
      </c>
      <c r="I5" s="12">
        <f t="shared" si="0"/>
        <v>8.3666666666666671</v>
      </c>
      <c r="J5" s="13">
        <f t="shared" si="3"/>
        <v>43.000000000000007</v>
      </c>
      <c r="K5" s="14">
        <f t="shared" si="4"/>
        <v>-23.000000000000028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(23rd)</v>
      </c>
      <c r="B6" s="8">
        <v>0.29583333333333334</v>
      </c>
      <c r="C6" s="8">
        <v>0.56041666666666667</v>
      </c>
      <c r="D6" s="8">
        <v>0.59027777777777779</v>
      </c>
      <c r="E6" s="9">
        <v>0.66666666666666663</v>
      </c>
      <c r="F6" s="11"/>
      <c r="G6" s="10">
        <f>SUM(C6 - B6) * 24</f>
        <v>6.35</v>
      </c>
      <c r="H6" s="11">
        <f t="shared" si="2"/>
        <v>1.8333333333333321</v>
      </c>
      <c r="I6" s="12">
        <f t="shared" si="0"/>
        <v>8.1833333333333318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-11.999999999999908</v>
      </c>
    </row>
    <row r="7" spans="1:12" ht="36.75" thickBot="1" x14ac:dyDescent="0.6">
      <c r="B7" s="19"/>
      <c r="H7" s="21" t="s">
        <v>10</v>
      </c>
      <c r="I7" s="22">
        <f>SUM(I2:I6)</f>
        <v>41.449999999999996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-1.4499999999999957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31" priority="4" operator="greaterThan">
      <formula>7.99999999</formula>
    </cfRule>
    <cfRule type="cellIs" dxfId="30" priority="5" operator="lessThan">
      <formula>8</formula>
    </cfRule>
  </conditionalFormatting>
  <conditionalFormatting sqref="I7">
    <cfRule type="cellIs" dxfId="29" priority="6" operator="lessThan">
      <formula>40</formula>
    </cfRule>
    <cfRule type="cellIs" dxfId="28" priority="7" operator="greaterThan">
      <formula>39.999999</formula>
    </cfRule>
  </conditionalFormatting>
  <conditionalFormatting sqref="K2:K6">
    <cfRule type="cellIs" dxfId="27" priority="1" operator="equal">
      <formula>"-"</formula>
    </cfRule>
    <cfRule type="cellIs" dxfId="26" priority="2" operator="greaterThan">
      <formula>0.1</formula>
    </cfRule>
    <cfRule type="cellIs" dxfId="25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B717E-C369-4345-87A7-5F55301B0739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01/12/2026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10"/>
      <c r="G2" s="10">
        <f>SUM(C2 - B2) * 24</f>
        <v>4.9000000000000012</v>
      </c>
      <c r="H2" s="11">
        <f>SUM(E2 - D2) * 24</f>
        <v>3.4499999999999984</v>
      </c>
      <c r="I2" s="12">
        <f>G2 + H2 + F2</f>
        <v>8.35</v>
      </c>
      <c r="J2" s="13">
        <f>IF(AND(C2 &lt;&gt; "", D2 &lt;&gt; ""), (SUM(D2 - C2) * 1440), " - ")</f>
        <v>44</v>
      </c>
      <c r="K2" s="14">
        <f>IF(AND((B2 &lt;&gt; ""), (C2 &lt;&gt; ""), (D2 &lt;&gt; ""), (E2 &lt;&gt; "")), IF((((8 - I2) * 60) + 1) &gt; 0, (((8 - I2) * 60) + 1), (((8 - I2) * 60) - 1)), "-")</f>
        <v>-21.999999999999979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0.55347222222222225</v>
      </c>
      <c r="D3" s="8">
        <v>0.58402777777777781</v>
      </c>
      <c r="E3" s="9">
        <v>0.66666666666666663</v>
      </c>
      <c r="F3" s="11"/>
      <c r="G3" s="10">
        <f>SUM(C3 - B3) * 24</f>
        <v>6.366666666666668</v>
      </c>
      <c r="H3" s="11">
        <f>SUM(E3 - D3) * 24</f>
        <v>1.9833333333333316</v>
      </c>
      <c r="I3" s="12">
        <f t="shared" ref="I3:I6" si="0">G3 + H3 + F3</f>
        <v>8.35</v>
      </c>
      <c r="J3" s="13">
        <f>IF(AND(C3 &lt;&gt; "", D3 &lt;&gt; ""), (SUM(D3 - C3) * 1440), " - ")</f>
        <v>44</v>
      </c>
      <c r="K3" s="14">
        <f>IF(AND((B3 &lt;&gt; ""), (C3 &lt;&gt; ""), (D3 &lt;&gt; ""), (E3 &lt;&gt; "")), IF((((8 - I3) * 60) + 1) &gt; 0, (((8 - I3) * 60) + 1), (((8 - I3) * 60) - 1)), "-")</f>
        <v>-21.999999999999979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>
        <v>0.53472222222222221</v>
      </c>
      <c r="D4" s="8">
        <v>0.56527777777777777</v>
      </c>
      <c r="E4" s="9">
        <v>0.66666666666666663</v>
      </c>
      <c r="F4" s="17"/>
      <c r="G4" s="10">
        <f t="shared" ref="G4:G5" si="1">SUM(C4 - B4) * 24</f>
        <v>5.916666666666667</v>
      </c>
      <c r="H4" s="11">
        <f t="shared" ref="H4:H6" si="2">SUM(E4 - D4) * 24</f>
        <v>2.4333333333333327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>
        <v>0.29444444444444445</v>
      </c>
      <c r="C5" s="8">
        <v>0.50555555555555554</v>
      </c>
      <c r="D5" s="8">
        <v>0.53611111111111109</v>
      </c>
      <c r="E5" s="9">
        <v>0.66805555555555551</v>
      </c>
      <c r="F5" s="17"/>
      <c r="G5" s="10">
        <f t="shared" si="1"/>
        <v>5.0666666666666664</v>
      </c>
      <c r="H5" s="11">
        <f t="shared" si="2"/>
        <v>3.1666666666666661</v>
      </c>
      <c r="I5" s="12">
        <f t="shared" si="0"/>
        <v>8.2333333333333325</v>
      </c>
      <c r="J5" s="13">
        <f t="shared" si="3"/>
        <v>44</v>
      </c>
      <c r="K5" s="14">
        <f t="shared" si="4"/>
        <v>-14.99999999999995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>
        <v>0.28819444444444442</v>
      </c>
      <c r="C6" s="8">
        <v>0.51527777777777772</v>
      </c>
      <c r="D6" s="8">
        <v>0.54513888888888884</v>
      </c>
      <c r="E6" s="9">
        <v>0.66666666666666663</v>
      </c>
      <c r="F6" s="11"/>
      <c r="G6" s="10">
        <f>SUM(C6 - B6) * 24</f>
        <v>5.4499999999999993</v>
      </c>
      <c r="H6" s="11">
        <f t="shared" si="2"/>
        <v>2.916666666666667</v>
      </c>
      <c r="I6" s="12">
        <f t="shared" si="0"/>
        <v>8.3666666666666671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-23.000000000000028</v>
      </c>
    </row>
    <row r="7" spans="1:12" ht="36.75" thickBot="1" x14ac:dyDescent="0.6">
      <c r="B7" s="19"/>
      <c r="H7" s="21" t="s">
        <v>10</v>
      </c>
      <c r="I7" s="22">
        <f>SUM(I2:I6)</f>
        <v>41.65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-1.6499999999999986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4" priority="4" operator="greaterThan">
      <formula>7.99999999</formula>
    </cfRule>
    <cfRule type="cellIs" dxfId="23" priority="5" operator="lessThan">
      <formula>8</formula>
    </cfRule>
  </conditionalFormatting>
  <conditionalFormatting sqref="I7">
    <cfRule type="cellIs" dxfId="22" priority="6" operator="lessThan">
      <formula>40</formula>
    </cfRule>
    <cfRule type="cellIs" dxfId="21" priority="7" operator="greaterThan">
      <formula>39.999999</formula>
    </cfRule>
  </conditionalFormatting>
  <conditionalFormatting sqref="K2:K6">
    <cfRule type="cellIs" dxfId="20" priority="1" operator="equal">
      <formula>"-"</formula>
    </cfRule>
    <cfRule type="cellIs" dxfId="19" priority="2" operator="greaterThan">
      <formula>0.1</formula>
    </cfRule>
    <cfRule type="cellIs" dxfId="18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F8E1-29A6-4379-865F-F9EC8A6B72E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01/05/2026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0.28749999999999998</v>
      </c>
      <c r="C2" s="8">
        <v>0.49375000000000002</v>
      </c>
      <c r="D2" s="8">
        <v>0.52361111111111114</v>
      </c>
      <c r="E2" s="9">
        <v>0.66666666666666663</v>
      </c>
      <c r="F2" s="10"/>
      <c r="G2" s="10">
        <f>SUM(C2 - B2) * 24</f>
        <v>4.9500000000000011</v>
      </c>
      <c r="H2" s="11">
        <f>SUM(E2 - D2) * 24</f>
        <v>3.4333333333333318</v>
      </c>
      <c r="I2" s="12">
        <f>G2 + H2 + F2</f>
        <v>8.3833333333333329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-23.999999999999972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0.54166666666666663</v>
      </c>
      <c r="D3" s="8">
        <v>0.57152777777777775</v>
      </c>
      <c r="E3" s="9">
        <v>0.66666666666666663</v>
      </c>
      <c r="F3" s="11"/>
      <c r="G3" s="10">
        <f>SUM(C3 - B3) * 24</f>
        <v>6.083333333333333</v>
      </c>
      <c r="H3" s="11">
        <f>SUM(E3 - D3) * 24</f>
        <v>2.2833333333333332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0.49166666666666664</v>
      </c>
      <c r="D4" s="8">
        <v>0.52222222222222225</v>
      </c>
      <c r="E4" s="9">
        <v>0.66666666666666663</v>
      </c>
      <c r="F4" s="17"/>
      <c r="G4" s="10">
        <f t="shared" ref="G4:G5" si="1">SUM(C4 - B4) * 24</f>
        <v>4.8833333333333329</v>
      </c>
      <c r="H4" s="11">
        <f t="shared" ref="H4:H6" si="2">SUM(E4 - D4) * 24</f>
        <v>3.466666666666665</v>
      </c>
      <c r="I4" s="12">
        <f t="shared" si="0"/>
        <v>8.3499999999999979</v>
      </c>
      <c r="J4" s="13">
        <f t="shared" ref="J4:J6" si="3">IF(AND(C4 &lt;&gt; "", D4 &lt;&gt; ""), (SUM(D4 - C4) * 1440), " - ")</f>
        <v>44.000000000000085</v>
      </c>
      <c r="K4" s="14">
        <f t="shared" ref="K4:K5" si="4">IF(AND((B4 &lt;&gt; ""), (C4 &lt;&gt; ""), (D4 &lt;&gt; ""), (E4 &lt;&gt; "")), IF((((8 - I4) * 60) + 1) &gt; 0, (((8 - I4) * 60) + 1), (((8 - I4) * 60) - 1)), "-")</f>
        <v>-21.999999999999872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0.49444444444444446</v>
      </c>
      <c r="D5" s="8">
        <v>0.52500000000000002</v>
      </c>
      <c r="E5" s="9">
        <v>0.66666666666666663</v>
      </c>
      <c r="F5" s="17"/>
      <c r="G5" s="10">
        <f t="shared" si="1"/>
        <v>4.9500000000000011</v>
      </c>
      <c r="H5" s="11">
        <f t="shared" si="2"/>
        <v>3.3999999999999986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0.28819444444444442</v>
      </c>
      <c r="C6" s="8">
        <v>0.52708333333333335</v>
      </c>
      <c r="D6" s="8">
        <v>0.55763888888888891</v>
      </c>
      <c r="E6" s="9">
        <v>0.66666666666666663</v>
      </c>
      <c r="F6" s="11"/>
      <c r="G6" s="10">
        <f>SUM(C6 - B6) * 24</f>
        <v>5.7333333333333343</v>
      </c>
      <c r="H6" s="11">
        <f t="shared" si="2"/>
        <v>2.6166666666666654</v>
      </c>
      <c r="I6" s="12">
        <f t="shared" si="0"/>
        <v>8.35</v>
      </c>
      <c r="J6" s="13">
        <f t="shared" si="3"/>
        <v>44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41.8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-1.7999999999999972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17" priority="4" operator="greaterThan">
      <formula>7.99999999</formula>
    </cfRule>
    <cfRule type="cellIs" dxfId="16" priority="5" operator="lessThan">
      <formula>8</formula>
    </cfRule>
  </conditionalFormatting>
  <conditionalFormatting sqref="I7">
    <cfRule type="cellIs" dxfId="15" priority="6" operator="lessThan">
      <formula>40</formula>
    </cfRule>
    <cfRule type="cellIs" dxfId="14" priority="7" operator="greaterThan">
      <formula>39.999999</formula>
    </cfRule>
  </conditionalFormatting>
  <conditionalFormatting sqref="K2:K6">
    <cfRule type="cellIs" dxfId="13" priority="1" operator="equal">
      <formula>"-"</formula>
    </cfRule>
    <cfRule type="cellIs" dxfId="12" priority="2" operator="greaterThan">
      <formula>0.1</formula>
    </cfRule>
    <cfRule type="cellIs" dxfId="11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20260504</vt:lpstr>
      <vt:lpstr>20260427</vt:lpstr>
      <vt:lpstr>20260420</vt:lpstr>
      <vt:lpstr>20260413</vt:lpstr>
      <vt:lpstr>20260408</vt:lpstr>
      <vt:lpstr>20260330</vt:lpstr>
      <vt:lpstr>20260323</vt:lpstr>
      <vt:lpstr>20260316</vt:lpstr>
      <vt:lpstr>20260309</vt:lpstr>
      <vt:lpstr>20260302</vt:lpstr>
      <vt:lpstr>20260223</vt:lpstr>
      <vt:lpstr>20260216</vt:lpstr>
      <vt:lpstr>20260209</vt:lpstr>
      <vt:lpstr>20260202</vt:lpstr>
      <vt:lpstr>20260126</vt:lpstr>
      <vt:lpstr>20260119</vt:lpstr>
      <vt:lpstr>20260112</vt:lpstr>
      <vt:lpstr>20260105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2026-01-05T11:54:15Z</dcterms:created>
  <dcterms:modified xsi:type="dcterms:W3CDTF">2026-05-01T16:34:53Z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2026-01-05T11:55:50Z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333930b2-ecd5-4c06-9d3d-695faa6526ee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