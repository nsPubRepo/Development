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DF6766C6-E187-4B06-B797-13D0BD75252E}" xr6:coauthVersionLast="47" xr6:coauthVersionMax="47" xr10:uidLastSave="{00000000-0000-0000-0000-000000000000}"/>
  <bookViews>
    <workbookView xWindow="40110" yWindow="2250" windowWidth="28800" windowHeight="15345" xr2:uid="{F0FEE646-CA9E-4872-A8E1-626BBC6FFE10}"/>
  </bookViews>
  <sheets>
    <sheet name="20260914" sheetId="37" r:id="rId1"/>
    <sheet name="20260907" sheetId="36" state="hidden" r:id="rId2"/>
    <sheet name="20260831" sheetId="35" state="hidden" r:id="rId3"/>
    <sheet name="20260824" sheetId="34" state="hidden" r:id="rId4"/>
    <sheet name="20260817" sheetId="33" state="hidden" r:id="rId5"/>
    <sheet name="20260810" sheetId="32" state="hidden" r:id="rId6"/>
    <sheet name="20260803" sheetId="31" state="hidden" r:id="rId7"/>
    <sheet name="20260727" sheetId="30" state="hidden" r:id="rId8"/>
    <sheet name="20260720" sheetId="29" state="hidden" r:id="rId9"/>
    <sheet name="20260713" sheetId="28" state="hidden" r:id="rId10"/>
    <sheet name="20260706" sheetId="27" state="hidden" r:id="rId11"/>
    <sheet name="20260629" sheetId="26" state="hidden" r:id="rId12"/>
    <sheet name="20260622" sheetId="25" state="hidden" r:id="rId13"/>
    <sheet name="20260615" sheetId="24" state="hidden" r:id="rId14"/>
    <sheet name="20260608" sheetId="23" state="hidden" r:id="rId15"/>
    <sheet name="20260601" sheetId="22" state="hidden" r:id="rId16"/>
    <sheet name="20260525" sheetId="21" state="hidden" r:id="rId17"/>
    <sheet name="20260518" sheetId="20" state="hidden" r:id="rId18"/>
    <sheet name="20260511" sheetId="19" state="hidden" r:id="rId19"/>
    <sheet name="20260504" sheetId="18" state="hidden" r:id="rId20"/>
    <sheet name="20260427" sheetId="17" state="hidden" r:id="rId21"/>
    <sheet name="20260420" sheetId="16" state="hidden" r:id="rId22"/>
    <sheet name="20260413" sheetId="15" state="hidden" r:id="rId23"/>
    <sheet name="20260408" sheetId="14" state="hidden" r:id="rId24"/>
    <sheet name="20260330" sheetId="13" state="hidden" r:id="rId25"/>
    <sheet name="20260323" sheetId="12" state="hidden" r:id="rId26"/>
    <sheet name="20260316" sheetId="11" state="hidden" r:id="rId27"/>
    <sheet name="20260309" sheetId="10" state="hidden" r:id="rId28"/>
    <sheet name="20260302" sheetId="9" state="hidden" r:id="rId29"/>
    <sheet name="20260223" sheetId="8" state="hidden" r:id="rId30"/>
    <sheet name="20260216" sheetId="7" state="hidden" r:id="rId31"/>
    <sheet name="20260209" sheetId="6" state="hidden" r:id="rId32"/>
    <sheet name="20260202" sheetId="5" state="hidden" r:id="rId33"/>
    <sheet name="20260126" sheetId="4" state="hidden" r:id="rId34"/>
    <sheet name="20260119" sheetId="3" state="hidden" r:id="rId35"/>
    <sheet name="20260112" sheetId="2" state="hidden" r:id="rId36"/>
    <sheet name="20260105" sheetId="1" state="hidden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7" l="1"/>
  <c r="K6" i="37"/>
  <c r="I6" i="37"/>
  <c r="H6" i="37"/>
  <c r="J6" i="37" s="1"/>
  <c r="F6" i="37"/>
  <c r="L5" i="37"/>
  <c r="K5" i="37"/>
  <c r="I5" i="37"/>
  <c r="H5" i="37"/>
  <c r="J5" i="37" s="1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37" l="1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L7" i="37" l="1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7" l="1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<sst xmlns="http://schemas.openxmlformats.org/spreadsheetml/2006/main" count="506" uniqueCount="25">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</sst>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7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tabSelected="1" zoomScale="85" zoomScaleNormal="85" workbookViewId="0">
      <selection activeCell="C4" sqref="C4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/>
      <c r="D4" s="8"/>
      <c r="E4" s="8">
        <v>0.66666666666666663</v>
      </c>
      <c r="F4" s="30">
        <f>IF(G4 &gt;= 8, 4 + COUNT(B4:E4), IF(AND(G4 &gt;= 4, G4 &lt;= 7), 2 + COUNT(B4:E4), COUNT(B4:E4)))</f>
        <v>2</v>
      </c>
      <c r="G4" s="28"/>
      <c r="H4" s="10">
        <f t="shared" ref="H4:H5" si="2">SUM(C4 - B4) * 24</f>
        <v>-6.9166666666666661</v>
      </c>
      <c r="I4" s="11">
        <f t="shared" ref="I4:I6" si="3">SUM(E4 - D4) * 24</f>
        <v>16</v>
      </c>
      <c r="J4" s="12">
        <f t="shared" si="1"/>
        <v>9.0833333333333339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25.81666666666667</v>
      </c>
      <c r="K7" s="25">
        <f>IF(SUM(K2:K6) &lt;&gt; 0, ((60*5) - SUM(K2:K6)) / 60, 0)</f>
        <v>3.5666666666666669</v>
      </c>
      <c r="L7" s="34">
        <f>IF(SUM(L2:L6) &lt;&gt; 0, (SUM(L2:L6)/ 60), 0) * -1</f>
        <v>0.76666666666666583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14.18333333333333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2026-09-16T10:55:05Z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