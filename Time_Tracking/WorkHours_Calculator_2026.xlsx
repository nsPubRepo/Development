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E2D47C31-735E-434A-99BC-210CDBE1973E}" xr6:coauthVersionLast="47" xr6:coauthVersionMax="47" xr10:uidLastSave="{00000000-0000-0000-0000-000000000000}"/>
  <bookViews>
    <workbookView xWindow="1200" yWindow="420" windowWidth="32970" windowHeight="18735" xr2:uid="{F0FEE646-CA9E-4872-A8E1-626BBC6FFE10}"/>
  </bookViews>
  <sheets>
    <sheet name="20260511" sheetId="19" r:id="rId1"/>
    <sheet name="20260504" sheetId="18" r:id="rId2"/>
    <sheet name="20260427" sheetId="17" state="hidden" r:id="rId3"/>
    <sheet name="20260420" sheetId="16" state="hidden" r:id="rId4"/>
    <sheet name="20260413" sheetId="15" state="hidden" r:id="rId5"/>
    <sheet name="20260408" sheetId="14" state="hidden" r:id="rId6"/>
    <sheet name="20260330" sheetId="13" state="hidden" r:id="rId7"/>
    <sheet name="20260323" sheetId="12" state="hidden" r:id="rId8"/>
    <sheet name="20260316" sheetId="11" state="hidden" r:id="rId9"/>
    <sheet name="20260309" sheetId="10" state="hidden" r:id="rId10"/>
    <sheet name="20260302" sheetId="9" state="hidden" r:id="rId11"/>
    <sheet name="20260223" sheetId="8" state="hidden" r:id="rId12"/>
    <sheet name="20260216" sheetId="7" state="hidden" r:id="rId13"/>
    <sheet name="20260209" sheetId="6" state="hidden" r:id="rId14"/>
    <sheet name="20260202" sheetId="5" state="hidden" r:id="rId15"/>
    <sheet name="20260126" sheetId="4" state="hidden" r:id="rId16"/>
    <sheet name="20260119" sheetId="3" state="hidden" r:id="rId17"/>
    <sheet name="20260112" sheetId="2" state="hidden" r:id="rId18"/>
    <sheet name="20260105" sheetId="1" state="hidden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19" l="1"/>
  <c r="K6" i="19"/>
  <c r="I6" i="19"/>
  <c r="H6" i="19"/>
  <c r="J6" i="19" s="1"/>
  <c r="F6" i="19"/>
  <c r="K5" i="19"/>
  <c r="I5" i="19"/>
  <c r="H5" i="19"/>
  <c r="J5" i="19" s="1"/>
  <c r="L5" i="19" s="1"/>
  <c r="F5" i="19"/>
  <c r="K4" i="19"/>
  <c r="I4" i="19"/>
  <c r="H4" i="19"/>
  <c r="F4" i="19"/>
  <c r="K3" i="19"/>
  <c r="I3" i="19"/>
  <c r="H3" i="19"/>
  <c r="F3" i="19"/>
  <c r="K2" i="19"/>
  <c r="I2" i="19"/>
  <c r="H2" i="19"/>
  <c r="J2" i="19" s="1"/>
  <c r="F2" i="19"/>
  <c r="A1" i="19" a="1"/>
  <c r="A1" i="19" s="1"/>
  <c r="K6" i="18"/>
  <c r="I6" i="18"/>
  <c r="H6" i="18"/>
  <c r="F6" i="18"/>
  <c r="K5" i="18"/>
  <c r="I5" i="18"/>
  <c r="H5" i="18"/>
  <c r="J5" i="18" s="1"/>
  <c r="L5" i="18" s="1"/>
  <c r="F5" i="18"/>
  <c r="K4" i="18"/>
  <c r="I4" i="18"/>
  <c r="H4" i="18"/>
  <c r="F4" i="18"/>
  <c r="K3" i="18"/>
  <c r="I3" i="18"/>
  <c r="H3" i="18"/>
  <c r="F3" i="18"/>
  <c r="K2" i="18"/>
  <c r="I2" i="18"/>
  <c r="H2" i="18"/>
  <c r="F2" i="18"/>
  <c r="A1" i="18" a="1"/>
  <c r="A1" i="18" s="1"/>
  <c r="K6" i="17"/>
  <c r="I6" i="17"/>
  <c r="H6" i="17"/>
  <c r="F6" i="17"/>
  <c r="K5" i="17"/>
  <c r="I5" i="17"/>
  <c r="H5" i="17"/>
  <c r="F5" i="17"/>
  <c r="K4" i="17"/>
  <c r="I4" i="17"/>
  <c r="H4" i="17"/>
  <c r="F4" i="17"/>
  <c r="K3" i="17"/>
  <c r="I3" i="17"/>
  <c r="H3" i="17"/>
  <c r="F3" i="17"/>
  <c r="K2" i="17"/>
  <c r="I2" i="17"/>
  <c r="H2" i="17"/>
  <c r="F2" i="17"/>
  <c r="A1" i="17" a="1"/>
  <c r="A1" i="17" s="1"/>
  <c r="K6" i="16"/>
  <c r="I6" i="16"/>
  <c r="H6" i="16"/>
  <c r="F6" i="16"/>
  <c r="L5" i="16"/>
  <c r="K5" i="16"/>
  <c r="I5" i="16"/>
  <c r="H5" i="16"/>
  <c r="J5" i="16" s="1"/>
  <c r="F5" i="16"/>
  <c r="K4" i="16"/>
  <c r="I4" i="16"/>
  <c r="H4" i="16"/>
  <c r="F4" i="16"/>
  <c r="K3" i="16"/>
  <c r="I3" i="16"/>
  <c r="H3" i="16"/>
  <c r="J3" i="16" s="1"/>
  <c r="L3" i="16" s="1"/>
  <c r="F3" i="16"/>
  <c r="K2" i="16"/>
  <c r="I2" i="16"/>
  <c r="H2" i="16"/>
  <c r="F2" i="16"/>
  <c r="A1" i="16" a="1"/>
  <c r="A1" i="16" s="1"/>
  <c r="K6" i="15"/>
  <c r="I6" i="15"/>
  <c r="H6" i="15"/>
  <c r="J6" i="15" s="1"/>
  <c r="L6" i="15" s="1"/>
  <c r="F6" i="15"/>
  <c r="K5" i="15"/>
  <c r="I5" i="15"/>
  <c r="H5" i="15"/>
  <c r="J5" i="15" s="1"/>
  <c r="L5" i="15" s="1"/>
  <c r="F5" i="15"/>
  <c r="K4" i="15"/>
  <c r="I4" i="15"/>
  <c r="H4" i="15"/>
  <c r="F4" i="15"/>
  <c r="K3" i="15"/>
  <c r="I3" i="15"/>
  <c r="H3" i="15"/>
  <c r="F3" i="15"/>
  <c r="K2" i="15"/>
  <c r="I2" i="15"/>
  <c r="H2" i="15"/>
  <c r="F2" i="15"/>
  <c r="A1" i="15" a="1"/>
  <c r="A1" i="15" s="1"/>
  <c r="K6" i="14"/>
  <c r="I6" i="14"/>
  <c r="H6" i="14"/>
  <c r="F6" i="14"/>
  <c r="K5" i="14"/>
  <c r="I5" i="14"/>
  <c r="H5" i="14"/>
  <c r="J5" i="14" s="1"/>
  <c r="L5" i="14" s="1"/>
  <c r="F5" i="14"/>
  <c r="K4" i="14"/>
  <c r="I4" i="14"/>
  <c r="H4" i="14"/>
  <c r="F4" i="14"/>
  <c r="K3" i="14"/>
  <c r="I3" i="14"/>
  <c r="H3" i="14"/>
  <c r="F3" i="14"/>
  <c r="K2" i="14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4" i="19" l="1"/>
  <c r="L4" i="19" s="1"/>
  <c r="J3" i="19"/>
  <c r="L3" i="19" s="1"/>
  <c r="K7" i="19"/>
  <c r="J7" i="19"/>
  <c r="L2" i="19"/>
  <c r="A2" i="19"/>
  <c r="A5" i="19"/>
  <c r="A3" i="19"/>
  <c r="A6" i="19"/>
  <c r="A4" i="19"/>
  <c r="J4" i="18"/>
  <c r="L4" i="18" s="1"/>
  <c r="J2" i="18"/>
  <c r="K7" i="18"/>
  <c r="J3" i="18"/>
  <c r="L3" i="18" s="1"/>
  <c r="J6" i="18"/>
  <c r="L6" i="18" s="1"/>
  <c r="A4" i="18"/>
  <c r="A2" i="18"/>
  <c r="A5" i="18"/>
  <c r="A3" i="18"/>
  <c r="A6" i="18"/>
  <c r="J7" i="18"/>
  <c r="L2" i="18"/>
  <c r="J6" i="17"/>
  <c r="L6" i="17" s="1"/>
  <c r="J5" i="17"/>
  <c r="L5" i="17" s="1"/>
  <c r="J4" i="17"/>
  <c r="L4" i="17" s="1"/>
  <c r="J2" i="17"/>
  <c r="K7" i="17"/>
  <c r="J3" i="17"/>
  <c r="L3" i="17" s="1"/>
  <c r="L2" i="17"/>
  <c r="A4" i="17"/>
  <c r="A2" i="17"/>
  <c r="A5" i="17"/>
  <c r="A3" i="17"/>
  <c r="A6" i="17"/>
  <c r="J2" i="16"/>
  <c r="K7" i="16"/>
  <c r="J6" i="16"/>
  <c r="L6" i="16" s="1"/>
  <c r="J4" i="16"/>
  <c r="L4" i="16" s="1"/>
  <c r="L2" i="16"/>
  <c r="A4" i="16"/>
  <c r="A2" i="16"/>
  <c r="A5" i="16"/>
  <c r="A6" i="16"/>
  <c r="A3" i="16"/>
  <c r="J4" i="15"/>
  <c r="L4" i="15" s="1"/>
  <c r="J3" i="15"/>
  <c r="L3" i="15" s="1"/>
  <c r="J2" i="15"/>
  <c r="K7" i="15"/>
  <c r="A4" i="15"/>
  <c r="A2" i="15"/>
  <c r="A5" i="15"/>
  <c r="A3" i="15"/>
  <c r="A6" i="15"/>
  <c r="J7" i="15"/>
  <c r="L2" i="15"/>
  <c r="K7" i="14"/>
  <c r="J4" i="14"/>
  <c r="L4" i="14" s="1"/>
  <c r="J3" i="14"/>
  <c r="L3" i="14" s="1"/>
  <c r="J6" i="14"/>
  <c r="L6" i="14" s="1"/>
  <c r="J2" i="14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10" i="19" l="1"/>
  <c r="J9" i="19"/>
  <c r="J10" i="18"/>
  <c r="J9" i="18"/>
  <c r="J7" i="17"/>
  <c r="J10" i="17" s="1"/>
  <c r="J7" i="16"/>
  <c r="J10" i="16" s="1"/>
  <c r="J10" i="15"/>
  <c r="J9" i="15"/>
  <c r="J7" i="14"/>
  <c r="J10" i="14" s="1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17" l="1"/>
  <c r="J9" i="16"/>
  <c r="J9" i="14"/>
  <c r="J9" i="1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<sst xmlns="http://schemas.openxmlformats.org/spreadsheetml/2006/main" count="254" uniqueCount="25">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</sst>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4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</cellXfs>
  <cellStyles count="2">
    <cellStyle name="Comma" xfId="1" builtinId="3"/>
    <cellStyle name="Normal" xfId="0" builtinId="0"/>
  </cellStyles>
  <dxfs count="17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CC944-ACF2-4B78-8F94-9FEAAB92C701}">
  <dimension ref="A1:M25"/>
  <sheetViews>
    <sheetView tabSelected="1" zoomScale="85" zoomScaleNormal="85" workbookViewId="0">
      <selection activeCell="B3" sqref="B3"/>
    </sheetView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(11th)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4.9000000000000012</v>
      </c>
      <c r="I2" s="11">
        <f>SUM(E2 - D2) * 24</f>
        <v>3.4499999999999984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(12th)</v>
      </c>
      <c r="B3" s="8"/>
      <c r="C3" s="8"/>
      <c r="D3" s="8"/>
      <c r="E3" s="9"/>
      <c r="F3" s="30">
        <f t="shared" ref="F3:F6" si="0">IF(G3 &gt;= 8, 4 + COUNT(B3:E3), IF(AND(G3 &gt;= 4, G3 &lt;= 7), 2 + COUNT(B3:E3), COUNT(B3:E3)))</f>
        <v>0</v>
      </c>
      <c r="G3" s="10"/>
      <c r="H3" s="10">
        <f>SUM(C3 - B3) * 24</f>
        <v>0</v>
      </c>
      <c r="I3" s="11">
        <f>SUM(E3 - D3) * 24</f>
        <v>0</v>
      </c>
      <c r="J3" s="12">
        <f t="shared" ref="J3:J6" si="1">H3 + I3 + G3</f>
        <v>0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(13th)</v>
      </c>
      <c r="B4" s="8"/>
      <c r="C4" s="8"/>
      <c r="D4" s="8"/>
      <c r="E4" s="9"/>
      <c r="F4" s="30">
        <f t="shared" si="0"/>
        <v>0</v>
      </c>
      <c r="G4" s="28"/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0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(14th)</v>
      </c>
      <c r="B5" s="8"/>
      <c r="C5" s="8"/>
      <c r="D5" s="8"/>
      <c r="E5" s="9"/>
      <c r="F5" s="30">
        <f t="shared" si="0"/>
        <v>0</v>
      </c>
      <c r="G5" s="28"/>
      <c r="H5" s="10">
        <f t="shared" si="2"/>
        <v>0</v>
      </c>
      <c r="I5" s="11">
        <f t="shared" si="3"/>
        <v>0</v>
      </c>
      <c r="J5" s="12">
        <f t="shared" si="1"/>
        <v>0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(15th)</v>
      </c>
      <c r="B6" s="8"/>
      <c r="C6" s="8"/>
      <c r="D6" s="8"/>
      <c r="E6" s="9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8.35</v>
      </c>
      <c r="K7" s="25">
        <f>IF(SUM(K2:K6) &lt;&gt; 0, ((60*5) - SUM(K2:K6)) / 60, 0)</f>
        <v>4.2666666666666666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31.65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78" priority="3" operator="greaterThan">
      <formula>3</formula>
    </cfRule>
    <cfRule type="cellIs" dxfId="177" priority="4" operator="lessThan">
      <formula>4</formula>
    </cfRule>
  </conditionalFormatting>
  <conditionalFormatting sqref="J2:J6">
    <cfRule type="cellIs" dxfId="176" priority="8" operator="greaterThan">
      <formula>7.99999999</formula>
    </cfRule>
    <cfRule type="cellIs" dxfId="175" priority="9" operator="lessThan">
      <formula>8</formula>
    </cfRule>
  </conditionalFormatting>
  <conditionalFormatting sqref="J7">
    <cfRule type="cellIs" dxfId="174" priority="10" operator="lessThan">
      <formula>40</formula>
    </cfRule>
    <cfRule type="cellIs" dxfId="173" priority="11" operator="greaterThan">
      <formula>39.999999</formula>
    </cfRule>
  </conditionalFormatting>
  <conditionalFormatting sqref="K7">
    <cfRule type="cellIs" dxfId="172" priority="1" operator="greaterThan">
      <formula>0</formula>
    </cfRule>
    <cfRule type="cellIs" dxfId="171" priority="2" operator="lessThan">
      <formula>0</formula>
    </cfRule>
  </conditionalFormatting>
  <conditionalFormatting sqref="L2:L6">
    <cfRule type="cellIs" dxfId="170" priority="5" operator="equal">
      <formula>"-"</formula>
    </cfRule>
    <cfRule type="cellIs" dxfId="169" priority="6" operator="greaterThan">
      <formula>0.1</formula>
    </cfRule>
    <cfRule type="cellIs" dxfId="16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CFE7D-7614-4F7F-B0B0-8B0AD836CA96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05/04/2026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(4th)</v>
      </c>
      <c r="B2" s="8">
        <v>0.28819444444444442</v>
      </c>
      <c r="C2" s="8">
        <v>0.51944444444444449</v>
      </c>
      <c r="D2" s="8">
        <v>0.5493055555555556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5.5500000000000016</v>
      </c>
      <c r="I2" s="11">
        <f>SUM(E2 - D2) * 24</f>
        <v>2.8166666666666647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(5th)</v>
      </c>
      <c r="B3" s="8">
        <v>0.28819444444444442</v>
      </c>
      <c r="C3" s="8">
        <v>0.51111111111111107</v>
      </c>
      <c r="D3" s="8">
        <v>0.54236111111111107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5.35</v>
      </c>
      <c r="I3" s="11">
        <f>SUM(E3 - D3) * 24</f>
        <v>2.9833333333333334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(6th)</v>
      </c>
      <c r="B4" s="8">
        <v>0.28819444444444442</v>
      </c>
      <c r="C4" s="8">
        <v>0.50763888888888886</v>
      </c>
      <c r="D4" s="8">
        <v>0.53819444444444442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5.2666666666666666</v>
      </c>
      <c r="I4" s="11">
        <f t="shared" ref="I4:I6" si="3">SUM(E4 - D4) * 24</f>
        <v>3.083333333333333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(7th)</v>
      </c>
      <c r="B5" s="8">
        <v>0.28819444444444442</v>
      </c>
      <c r="C5" s="8">
        <v>0.49791666666666667</v>
      </c>
      <c r="D5" s="8">
        <v>0.53333333333333333</v>
      </c>
      <c r="E5" s="9">
        <v>0.66666666666666663</v>
      </c>
      <c r="F5" s="30">
        <f t="shared" si="0"/>
        <v>4</v>
      </c>
      <c r="G5" s="28"/>
      <c r="H5" s="10">
        <f t="shared" si="2"/>
        <v>5.0333333333333341</v>
      </c>
      <c r="I5" s="11">
        <f t="shared" si="3"/>
        <v>3.1999999999999993</v>
      </c>
      <c r="J5" s="12">
        <f t="shared" si="1"/>
        <v>8.2333333333333343</v>
      </c>
      <c r="K5" s="13">
        <f t="shared" si="4"/>
        <v>50.999999999999979</v>
      </c>
      <c r="L5" s="14">
        <f t="shared" si="5"/>
        <v>-15.000000000000057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(8th)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41.283333333333331</v>
      </c>
      <c r="K7" s="25">
        <f>IF(SUM(K2:K6) &lt;&gt; 0, ((60*5) - SUM(K2:K6)) / 60, 0)</f>
        <v>1.9500000000000004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-1.2833333333333314</v>
      </c>
      <c r="K9" s="26"/>
    </row>
    <row r="10" spans="1:13" ht="24" thickBot="1" x14ac:dyDescent="0.4">
      <c r="I10" s="32" t="s">
        <v>21</v>
      </c>
      <c r="J10" s="25">
        <f>IF(J7 &lt; 40, "-", J7-40)</f>
        <v>1.2833333333333314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67" priority="3" operator="greaterThan">
      <formula>3</formula>
    </cfRule>
    <cfRule type="cellIs" dxfId="166" priority="4" operator="lessThan">
      <formula>4</formula>
    </cfRule>
  </conditionalFormatting>
  <conditionalFormatting sqref="J2:J6">
    <cfRule type="cellIs" dxfId="165" priority="8" operator="greaterThan">
      <formula>7.99999999</formula>
    </cfRule>
    <cfRule type="cellIs" dxfId="164" priority="9" operator="lessThan">
      <formula>8</formula>
    </cfRule>
  </conditionalFormatting>
  <conditionalFormatting sqref="J7">
    <cfRule type="cellIs" dxfId="163" priority="10" operator="lessThan">
      <formula>40</formula>
    </cfRule>
    <cfRule type="cellIs" dxfId="162" priority="11" operator="greaterThan">
      <formula>39.999999</formula>
    </cfRule>
  </conditionalFormatting>
  <conditionalFormatting sqref="K7">
    <cfRule type="cellIs" dxfId="161" priority="1" operator="greaterThan">
      <formula>0</formula>
    </cfRule>
    <cfRule type="cellIs" dxfId="160" priority="2" operator="lessThan">
      <formula>0</formula>
    </cfRule>
  </conditionalFormatting>
  <conditionalFormatting sqref="L2:L6">
    <cfRule type="cellIs" dxfId="159" priority="5" operator="equal">
      <formula>"-"</formula>
    </cfRule>
    <cfRule type="cellIs" dxfId="158" priority="6" operator="greaterThan">
      <formula>0.1</formula>
    </cfRule>
    <cfRule type="cellIs" dxfId="15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38E4F-E691-46C6-97FD-EC7175A0C027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0.51111111111111107</v>
      </c>
      <c r="D2" s="8">
        <v>0.54236111111111107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5.35</v>
      </c>
      <c r="I2" s="11">
        <f>SUM(E2 - D2) * 24</f>
        <v>2.9833333333333334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0.53333333333333333</v>
      </c>
      <c r="D3" s="8">
        <v>0.56388888888888888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5.8833333333333337</v>
      </c>
      <c r="I3" s="11">
        <f>SUM(E3 - D3) * 24</f>
        <v>2.4666666666666659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0.49236111111111114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4.9000000000000012</v>
      </c>
      <c r="I4" s="11">
        <f t="shared" ref="I4:I6" si="3">SUM(E4 - D4) * 24</f>
        <v>3.4499999999999984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8">
        <v>0.56458333333333333</v>
      </c>
      <c r="D5" s="8">
        <v>0.59513888888888888</v>
      </c>
      <c r="E5" s="9">
        <v>0.66666666666666663</v>
      </c>
      <c r="F5" s="30">
        <f t="shared" si="0"/>
        <v>4</v>
      </c>
      <c r="G5" s="28"/>
      <c r="H5" s="10">
        <f t="shared" si="2"/>
        <v>6.6333333333333337</v>
      </c>
      <c r="I5" s="11">
        <f t="shared" si="3"/>
        <v>1.7166666666666659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(1st)</v>
      </c>
      <c r="B6" s="8">
        <v>0.29097222222222224</v>
      </c>
      <c r="C6" s="8">
        <v>0.49236111111111114</v>
      </c>
      <c r="D6" s="8">
        <v>0.5229166666666667</v>
      </c>
      <c r="E6" s="9">
        <v>0.66666666666666663</v>
      </c>
      <c r="F6" s="30">
        <f t="shared" si="0"/>
        <v>4</v>
      </c>
      <c r="G6" s="10"/>
      <c r="H6" s="10">
        <f>SUM(C6 - B6) * 24</f>
        <v>4.8333333333333339</v>
      </c>
      <c r="I6" s="11">
        <f t="shared" si="3"/>
        <v>3.4499999999999984</v>
      </c>
      <c r="J6" s="12">
        <f t="shared" si="1"/>
        <v>8.2833333333333314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-17.999999999999886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1.3166666666666667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56" priority="3" operator="greaterThan">
      <formula>3</formula>
    </cfRule>
    <cfRule type="cellIs" dxfId="155" priority="4" operator="lessThan">
      <formula>4</formula>
    </cfRule>
  </conditionalFormatting>
  <conditionalFormatting sqref="J2:J6">
    <cfRule type="cellIs" dxfId="154" priority="8" operator="greaterThan">
      <formula>7.99999999</formula>
    </cfRule>
    <cfRule type="cellIs" dxfId="153" priority="9" operator="lessThan">
      <formula>8</formula>
    </cfRule>
  </conditionalFormatting>
  <conditionalFormatting sqref="J7">
    <cfRule type="cellIs" dxfId="152" priority="10" operator="lessThan">
      <formula>40</formula>
    </cfRule>
    <cfRule type="cellIs" dxfId="151" priority="11" operator="greaterThan">
      <formula>39.999999</formula>
    </cfRule>
  </conditionalFormatting>
  <conditionalFormatting sqref="K7">
    <cfRule type="cellIs" dxfId="150" priority="1" operator="greaterThan">
      <formula>0</formula>
    </cfRule>
    <cfRule type="cellIs" dxfId="149" priority="2" operator="lessThan">
      <formula>0</formula>
    </cfRule>
  </conditionalFormatting>
  <conditionalFormatting sqref="L2:L6">
    <cfRule type="cellIs" dxfId="148" priority="5" operator="equal">
      <formula>"-"</formula>
    </cfRule>
    <cfRule type="cellIs" dxfId="147" priority="6" operator="greaterThan">
      <formula>0.1</formula>
    </cfRule>
    <cfRule type="cellIs" dxfId="14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1D9D8-918B-4A24-B181-4C0540C55ECF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0.49583333333333335</v>
      </c>
      <c r="D2" s="8">
        <v>0.52569444444444446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4.9833333333333343</v>
      </c>
      <c r="I2" s="11">
        <f>SUM(E2 - D2) * 24</f>
        <v>3.383333333333332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0.48402777777777778</v>
      </c>
      <c r="D3" s="8">
        <v>0.51458333333333328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4.7000000000000011</v>
      </c>
      <c r="I3" s="11">
        <f>SUM(E3 - D3) * 24</f>
        <v>3.6500000000000004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0.49513888888888891</v>
      </c>
      <c r="D4" s="8">
        <v>0.52569444444444446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4.9666666666666677</v>
      </c>
      <c r="I4" s="11">
        <f t="shared" ref="I4:I6" si="3">SUM(E4 - D4) * 24</f>
        <v>3.383333333333332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8">
        <v>0.50069444444444444</v>
      </c>
      <c r="D5" s="8">
        <v>0.53194444444444444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3.2333333333333325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8">
        <v>0.28819444444444442</v>
      </c>
      <c r="C6" s="8">
        <v>0.50416666666666665</v>
      </c>
      <c r="D6" s="8">
        <v>0.53472222222222221</v>
      </c>
      <c r="E6" s="9">
        <v>0.66666666666666663</v>
      </c>
      <c r="F6" s="30">
        <f t="shared" si="0"/>
        <v>4</v>
      </c>
      <c r="G6" s="10"/>
      <c r="H6" s="10">
        <f>SUM(C6 - B6) * 24</f>
        <v>5.1833333333333336</v>
      </c>
      <c r="I6" s="11">
        <f t="shared" si="3"/>
        <v>3.1666666666666661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41.750000000000007</v>
      </c>
      <c r="K7" s="25">
        <f>IF(SUM(K2:K6) &lt;&gt; 0, ((60*5) - SUM(K2:K6)) / 60, 0)</f>
        <v>1.3333333333333344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-1.7500000000000071</v>
      </c>
      <c r="K9" s="26"/>
    </row>
    <row r="10" spans="1:13" ht="24" thickBot="1" x14ac:dyDescent="0.4">
      <c r="I10" s="32" t="s">
        <v>21</v>
      </c>
      <c r="J10" s="25">
        <f>IF(J7 &lt; 40, "-", J7-40)</f>
        <v>1.7500000000000071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45" priority="3" operator="greaterThan">
      <formula>3</formula>
    </cfRule>
    <cfRule type="cellIs" dxfId="144" priority="4" operator="lessThan">
      <formula>4</formula>
    </cfRule>
  </conditionalFormatting>
  <conditionalFormatting sqref="J2:J6">
    <cfRule type="cellIs" dxfId="143" priority="8" operator="greaterThan">
      <formula>7.99999999</formula>
    </cfRule>
    <cfRule type="cellIs" dxfId="142" priority="9" operator="lessThan">
      <formula>8</formula>
    </cfRule>
  </conditionalFormatting>
  <conditionalFormatting sqref="J7">
    <cfRule type="cellIs" dxfId="141" priority="10" operator="lessThan">
      <formula>40</formula>
    </cfRule>
    <cfRule type="cellIs" dxfId="140" priority="11" operator="greaterThan">
      <formula>39.999999</formula>
    </cfRule>
  </conditionalFormatting>
  <conditionalFormatting sqref="K7">
    <cfRule type="cellIs" dxfId="139" priority="1" operator="greaterThan">
      <formula>0</formula>
    </cfRule>
    <cfRule type="cellIs" dxfId="138" priority="2" operator="lessThan">
      <formula>0</formula>
    </cfRule>
  </conditionalFormatting>
  <conditionalFormatting sqref="L2:L6">
    <cfRule type="cellIs" dxfId="137" priority="5" operator="equal">
      <formula>"-"</formula>
    </cfRule>
    <cfRule type="cellIs" dxfId="136" priority="6" operator="greaterThan">
      <formula>0.1</formula>
    </cfRule>
    <cfRule type="cellIs" dxfId="13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DEE3-E784-4BAF-9730-AC8A15978DE6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0.50347222222222221</v>
      </c>
      <c r="D2" s="8">
        <v>0.53541666666666665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5.166666666666667</v>
      </c>
      <c r="I2" s="11">
        <f>SUM(E2 - D2) * 24</f>
        <v>3.1499999999999995</v>
      </c>
      <c r="J2" s="12">
        <f>H2 + I2 + G2</f>
        <v>8.3166666666666664</v>
      </c>
      <c r="K2" s="13">
        <f>IF(AND(C2 &lt;&gt; "", D2 &lt;&gt; ""), (SUM(D2 - C2) * 1440), " - ")</f>
        <v>46</v>
      </c>
      <c r="L2" s="14">
        <f>IF(AND((B2 &lt;&gt; ""), (C2 &lt;&gt; ""), (D2 &lt;&gt; ""), (E2 &lt;&gt; "")), IF((((8 - J2) * 60) + 1) &gt; 0, (((8 - J2) * 60) + 1), (((8 - J2) * 60) - 1)), "-")</f>
        <v>-19.999999999999986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0.52152777777777781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5.6000000000000014</v>
      </c>
      <c r="I3" s="11">
        <f>SUM(E3 - D3) * 24</f>
        <v>2.7333333333333316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0.4597222222222222</v>
      </c>
      <c r="D4" s="8">
        <v>0.49583333333333335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4.1166666666666671</v>
      </c>
      <c r="I4" s="11">
        <f t="shared" ref="I4:I6" si="3">SUM(E4 - D4) * 24</f>
        <v>4.0999999999999988</v>
      </c>
      <c r="J4" s="12">
        <f t="shared" si="1"/>
        <v>8.216666666666665</v>
      </c>
      <c r="K4" s="13">
        <f t="shared" ref="K4:K6" si="4">IF(AND(C4 &lt;&gt; "", D4 &lt;&gt; ""), (SUM(D4 - C4) * 1440), " - ")</f>
        <v>52.000000000000057</v>
      </c>
      <c r="L4" s="14">
        <f t="shared" ref="L4:L5" si="5">IF(AND((B4 &lt;&gt; ""), (C4 &lt;&gt; ""), (D4 &lt;&gt; ""), (E4 &lt;&gt; "")), IF((((8 - J4) * 60) + 1) &gt; 0, (((8 - J4) * 60) + 1), (((8 - J4) * 60) - 1)), "-")</f>
        <v>-13.999999999999901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0.49930555555555556</v>
      </c>
      <c r="D5" s="8">
        <v>0.52916666666666667</v>
      </c>
      <c r="E5" s="9">
        <v>0.66666666666666663</v>
      </c>
      <c r="F5" s="30">
        <f t="shared" si="0"/>
        <v>4</v>
      </c>
      <c r="G5" s="28"/>
      <c r="H5" s="10">
        <f t="shared" si="2"/>
        <v>5.0666666666666673</v>
      </c>
      <c r="I5" s="11">
        <f t="shared" si="3"/>
        <v>3.2999999999999989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0.51736111111111116</v>
      </c>
      <c r="D6" s="8">
        <v>0.54722222222222228</v>
      </c>
      <c r="E6" s="9">
        <v>0.66666666666666663</v>
      </c>
      <c r="F6" s="30">
        <f t="shared" si="0"/>
        <v>4</v>
      </c>
      <c r="G6" s="10"/>
      <c r="H6" s="10">
        <f>SUM(C6 - B6) * 24</f>
        <v>5.5000000000000018</v>
      </c>
      <c r="I6" s="11">
        <f t="shared" si="3"/>
        <v>2.8666666666666645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41.6</v>
      </c>
      <c r="K7" s="25">
        <f>IF(SUM(K2:K6) &lt;&gt; 0, ((60*5) - SUM(K2:K6)) / 60, 0)</f>
        <v>1.1833333333333325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-1.6000000000000014</v>
      </c>
      <c r="K9" s="26"/>
    </row>
    <row r="10" spans="1:13" ht="24" thickBot="1" x14ac:dyDescent="0.4">
      <c r="I10" s="32" t="s">
        <v>21</v>
      </c>
      <c r="J10" s="25">
        <f>IF(J7 &lt; 40, "-", J7-40)</f>
        <v>1.6000000000000014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34" priority="3" operator="greaterThan">
      <formula>3</formula>
    </cfRule>
    <cfRule type="cellIs" dxfId="133" priority="4" operator="lessThan">
      <formula>4</formula>
    </cfRule>
  </conditionalFormatting>
  <conditionalFormatting sqref="J2:J6">
    <cfRule type="cellIs" dxfId="132" priority="8" operator="greaterThan">
      <formula>7.99999999</formula>
    </cfRule>
    <cfRule type="cellIs" dxfId="131" priority="9" operator="lessThan">
      <formula>8</formula>
    </cfRule>
  </conditionalFormatting>
  <conditionalFormatting sqref="J7">
    <cfRule type="cellIs" dxfId="130" priority="10" operator="lessThan">
      <formula>40</formula>
    </cfRule>
    <cfRule type="cellIs" dxfId="129" priority="11" operator="greaterThan">
      <formula>39.999999</formula>
    </cfRule>
  </conditionalFormatting>
  <conditionalFormatting sqref="K7">
    <cfRule type="cellIs" dxfId="128" priority="1" operator="greaterThan">
      <formula>0</formula>
    </cfRule>
    <cfRule type="cellIs" dxfId="127" priority="2" operator="lessThan">
      <formula>0</formula>
    </cfRule>
  </conditionalFormatting>
  <conditionalFormatting sqref="L2:L6">
    <cfRule type="cellIs" dxfId="126" priority="5" operator="equal">
      <formula>"-"</formula>
    </cfRule>
    <cfRule type="cellIs" dxfId="125" priority="6" operator="greaterThan">
      <formula>0.1</formula>
    </cfRule>
    <cfRule type="cellIs" dxfId="12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>
        <v>0.28819444444444442</v>
      </c>
      <c r="C3" s="8">
        <v>0.49444444444444446</v>
      </c>
      <c r="D3" s="8">
        <v>0.52500000000000002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4.9500000000000011</v>
      </c>
      <c r="I3" s="11">
        <f>SUM(E3 - D3) * 24</f>
        <v>3.3999999999999986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>
        <v>0.28819444444444442</v>
      </c>
      <c r="C4" s="8">
        <v>0.49027777777777776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4.8499999999999996</v>
      </c>
      <c r="I4" s="11">
        <f t="shared" ref="I4:I6" si="3">SUM(E4 - D4) * 24</f>
        <v>3.4499999999999984</v>
      </c>
      <c r="J4" s="12">
        <f t="shared" si="1"/>
        <v>8.2999999999999972</v>
      </c>
      <c r="K4" s="13">
        <f t="shared" ref="K4:K6" si="4">IF(AND(C4 &lt;&gt; "", D4 &lt;&gt; ""), (SUM(D4 - C4) * 1440), " - ")</f>
        <v>47.000000000000071</v>
      </c>
      <c r="L4" s="14">
        <f t="shared" ref="L4:L5" si="5">IF(AND((B4 &lt;&gt; ""), (C4 &lt;&gt; ""), (D4 &lt;&gt; ""), (E4 &lt;&gt; "")), IF((((8 - J4) * 60) + 1) &gt; 0, (((8 - J4) * 60) + 1), (((8 - J4) * 60) - 1)), "-")</f>
        <v>-18.999999999999829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>
        <v>0.28819444444444442</v>
      </c>
      <c r="C5" s="8">
        <v>0.49166666666666664</v>
      </c>
      <c r="D5" s="8">
        <v>0.5229166666666667</v>
      </c>
      <c r="E5" s="9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>
        <v>0.28819444444444442</v>
      </c>
      <c r="C6" s="8">
        <v>0.49861111111111112</v>
      </c>
      <c r="D6" s="8">
        <v>0.52916666666666667</v>
      </c>
      <c r="E6" s="9">
        <v>0.66666666666666663</v>
      </c>
      <c r="F6" s="30">
        <f t="shared" si="0"/>
        <v>4</v>
      </c>
      <c r="G6" s="10"/>
      <c r="H6" s="10">
        <f>SUM(C6 - B6) * 24</f>
        <v>5.0500000000000007</v>
      </c>
      <c r="I6" s="11">
        <f t="shared" si="3"/>
        <v>3.2999999999999989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1.2499999999999976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3" operator="greaterThan">
      <formula>3</formula>
    </cfRule>
    <cfRule type="cellIs" dxfId="100" priority="4" operator="lessThan">
      <formula>4</formula>
    </cfRule>
  </conditionalFormatting>
  <conditionalFormatting sqref="J2:J6">
    <cfRule type="cellIs" dxfId="99" priority="8" operator="greaterThan">
      <formula>7.99999999</formula>
    </cfRule>
    <cfRule type="cellIs" dxfId="98" priority="9" operator="lessThan">
      <formula>8</formula>
    </cfRule>
  </conditionalFormatting>
  <conditionalFormatting sqref="J7">
    <cfRule type="cellIs" dxfId="97" priority="10" operator="lessThan">
      <formula>40</formula>
    </cfRule>
    <cfRule type="cellIs" dxfId="96" priority="11" operator="greaterThan">
      <formula>39.999999</formula>
    </cfRule>
  </conditionalFormatting>
  <conditionalFormatting sqref="K7">
    <cfRule type="cellIs" dxfId="95" priority="1" operator="greaterThan">
      <formula>0</formula>
    </cfRule>
    <cfRule type="cellIs" dxfId="94" priority="2" operator="lessThan">
      <formula>0</formula>
    </cfRule>
  </conditionalFormatting>
  <conditionalFormatting sqref="L2:L6">
    <cfRule type="cellIs" dxfId="93" priority="5" operator="equal">
      <formula>"-"</formula>
    </cfRule>
    <cfRule type="cellIs" dxfId="92" priority="6" operator="greaterThan">
      <formula>0.1</formula>
    </cfRule>
    <cfRule type="cellIs" dxfId="9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20260511</vt:lpstr>
      <vt:lpstr>20260504</vt:lpstr>
      <vt:lpstr>20260427</vt:lpstr>
      <vt:lpstr>20260420</vt:lpstr>
      <vt:lpstr>20260413</vt:lpstr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2026-05-11T16:34:21Z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