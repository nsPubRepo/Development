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PubDev\"/>
    </mc:Choice>
  </mc:AlternateContent>
  <xr:revisionPtr revIDLastSave="0" documentId="13_ncr:1_{BCADC871-E717-4DED-8A42-FC90AC248F0C}" xr6:coauthVersionLast="47" xr6:coauthVersionMax="47" xr10:uidLastSave="{00000000-0000-0000-0000-000000000000}"/>
  <bookViews>
    <workbookView xWindow="39285" yWindow="1500" windowWidth="33285" windowHeight="16605" xr2:uid="{AE14A5DA-5418-4CB2-B16F-47804216F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20" i="1" l="1"/>
  <c r="C20" i="1" l="1"/>
  <c r="D20" i="1" s="1"/>
  <c r="C6" i="1"/>
  <c r="E6" i="1" s="1"/>
  <c r="D6" i="1"/>
  <c r="D23" i="1" l="1"/>
  <c r="C23" i="1"/>
  <c r="E23" i="1"/>
  <c r="D24" i="1"/>
  <c r="C7" i="1"/>
  <c r="D7" i="1"/>
  <c r="C24" i="1"/>
  <c r="E24" i="1" l="1"/>
  <c r="D25" i="1"/>
  <c r="C8" i="1"/>
  <c r="D8" i="1"/>
  <c r="E7" i="1"/>
  <c r="C25" i="1"/>
  <c r="E25" i="1" l="1"/>
  <c r="D26" i="1"/>
  <c r="C9" i="1"/>
  <c r="D9" i="1"/>
  <c r="E8" i="1"/>
  <c r="C26" i="1"/>
  <c r="E26" i="1" l="1"/>
  <c r="D27" i="1"/>
  <c r="C10" i="1"/>
  <c r="D10" i="1"/>
  <c r="E9" i="1"/>
  <c r="C27" i="1"/>
  <c r="E27" i="1" l="1"/>
  <c r="D28" i="1"/>
  <c r="C11" i="1"/>
  <c r="D11" i="1"/>
  <c r="E10" i="1"/>
  <c r="C28" i="1"/>
  <c r="E28" i="1" l="1"/>
  <c r="D29" i="1"/>
  <c r="C12" i="1"/>
  <c r="D12" i="1"/>
  <c r="E11" i="1"/>
  <c r="C29" i="1"/>
  <c r="E29" i="1" l="1"/>
  <c r="D30" i="1"/>
  <c r="C13" i="1"/>
  <c r="D13" i="1"/>
  <c r="E12" i="1"/>
  <c r="C30" i="1"/>
  <c r="E30" i="1" l="1"/>
  <c r="D31" i="1"/>
  <c r="C14" i="1"/>
  <c r="D14" i="1"/>
  <c r="E13" i="1"/>
  <c r="C31" i="1"/>
  <c r="E31" i="1" l="1"/>
  <c r="D32" i="1"/>
  <c r="C15" i="1"/>
  <c r="D15" i="1"/>
  <c r="E14" i="1"/>
  <c r="C32" i="1"/>
  <c r="E32" i="1" l="1"/>
  <c r="D33" i="1"/>
  <c r="C16" i="1"/>
  <c r="D16" i="1"/>
  <c r="E15" i="1"/>
  <c r="C33" i="1"/>
  <c r="E33" i="1" l="1"/>
  <c r="D34" i="1"/>
  <c r="C17" i="1"/>
  <c r="D17" i="1"/>
  <c r="E16" i="1"/>
  <c r="C34" i="1"/>
  <c r="E34" i="1" l="1"/>
  <c r="H23" i="1"/>
  <c r="G6" i="1"/>
  <c r="H6" i="1"/>
  <c r="E17" i="1"/>
  <c r="G23" i="1"/>
  <c r="I23" i="1" l="1"/>
  <c r="H24" i="1"/>
  <c r="G7" i="1"/>
  <c r="H7" i="1"/>
  <c r="I6" i="1"/>
  <c r="G24" i="1"/>
  <c r="I24" i="1" l="1"/>
  <c r="H25" i="1"/>
  <c r="G8" i="1"/>
  <c r="H8" i="1"/>
  <c r="I7" i="1"/>
  <c r="G25" i="1"/>
  <c r="I25" i="1" l="1"/>
  <c r="H26" i="1"/>
  <c r="G9" i="1"/>
  <c r="H9" i="1"/>
  <c r="I8" i="1"/>
  <c r="G26" i="1"/>
  <c r="I26" i="1" l="1"/>
  <c r="H27" i="1"/>
  <c r="G10" i="1"/>
  <c r="H10" i="1"/>
  <c r="I9" i="1"/>
  <c r="G27" i="1"/>
  <c r="I27" i="1" l="1"/>
  <c r="H28" i="1"/>
  <c r="G11" i="1"/>
  <c r="H11" i="1"/>
  <c r="I10" i="1"/>
  <c r="G28" i="1"/>
  <c r="I28" i="1" l="1"/>
  <c r="H29" i="1"/>
  <c r="G12" i="1"/>
  <c r="H12" i="1"/>
  <c r="I11" i="1"/>
  <c r="G29" i="1"/>
  <c r="I29" i="1" l="1"/>
  <c r="H30" i="1"/>
  <c r="G13" i="1"/>
  <c r="H13" i="1"/>
  <c r="I12" i="1"/>
  <c r="G30" i="1"/>
  <c r="I30" i="1" l="1"/>
  <c r="H31" i="1"/>
  <c r="G14" i="1"/>
  <c r="H14" i="1"/>
  <c r="I13" i="1"/>
  <c r="G31" i="1"/>
  <c r="I31" i="1" l="1"/>
  <c r="H32" i="1"/>
  <c r="I14" i="1"/>
  <c r="G15" i="1"/>
  <c r="H15" i="1"/>
  <c r="G32" i="1"/>
  <c r="I32" i="1" l="1"/>
  <c r="H33" i="1"/>
  <c r="G16" i="1"/>
  <c r="I15" i="1"/>
  <c r="H16" i="1"/>
  <c r="G33" i="1"/>
  <c r="I33" i="1" l="1"/>
  <c r="H34" i="1"/>
  <c r="G17" i="1"/>
  <c r="H17" i="1"/>
  <c r="I16" i="1"/>
  <c r="G34" i="1"/>
  <c r="I34" i="1" l="1"/>
  <c r="L23" i="1"/>
  <c r="L6" i="1"/>
  <c r="K6" i="1"/>
  <c r="I17" i="1"/>
  <c r="K23" i="1"/>
  <c r="M23" i="1" l="1"/>
  <c r="L24" i="1"/>
  <c r="K7" i="1"/>
  <c r="M6" i="1"/>
  <c r="L7" i="1"/>
  <c r="K24" i="1"/>
  <c r="M24" i="1" l="1"/>
  <c r="L25" i="1"/>
  <c r="K8" i="1"/>
  <c r="L8" i="1"/>
  <c r="M7" i="1"/>
  <c r="K25" i="1"/>
  <c r="M25" i="1" l="1"/>
  <c r="L26" i="1"/>
  <c r="M8" i="1"/>
  <c r="L9" i="1"/>
  <c r="K9" i="1"/>
  <c r="K26" i="1"/>
  <c r="M26" i="1" l="1"/>
  <c r="L27" i="1"/>
  <c r="K10" i="1"/>
  <c r="L10" i="1"/>
  <c r="M9" i="1"/>
  <c r="K27" i="1"/>
  <c r="M27" i="1" l="1"/>
  <c r="L28" i="1"/>
  <c r="K11" i="1"/>
  <c r="L11" i="1"/>
  <c r="M10" i="1"/>
  <c r="K28" i="1"/>
  <c r="M28" i="1" l="1"/>
  <c r="L29" i="1"/>
  <c r="K12" i="1"/>
  <c r="M11" i="1"/>
  <c r="L12" i="1"/>
  <c r="K29" i="1"/>
  <c r="M29" i="1" l="1"/>
  <c r="L30" i="1"/>
  <c r="K13" i="1"/>
  <c r="L13" i="1"/>
  <c r="M12" i="1"/>
  <c r="K30" i="1"/>
  <c r="M30" i="1" l="1"/>
  <c r="L31" i="1"/>
  <c r="K14" i="1"/>
  <c r="L14" i="1"/>
  <c r="M13" i="1"/>
  <c r="K31" i="1"/>
  <c r="M31" i="1" l="1"/>
  <c r="L32" i="1"/>
  <c r="M14" i="1"/>
  <c r="L15" i="1"/>
  <c r="K15" i="1"/>
  <c r="K32" i="1"/>
  <c r="M32" i="1" l="1"/>
  <c r="L33" i="1"/>
  <c r="K16" i="1"/>
  <c r="L16" i="1"/>
  <c r="M15" i="1"/>
  <c r="K33" i="1"/>
  <c r="M33" i="1" l="1"/>
  <c r="L34" i="1"/>
  <c r="K17" i="1"/>
  <c r="P6" i="1" s="1"/>
  <c r="L17" i="1"/>
  <c r="M16" i="1"/>
  <c r="K34" i="1"/>
  <c r="P23" i="1" l="1"/>
  <c r="O23" i="1"/>
  <c r="O6" i="1"/>
  <c r="M17" i="1"/>
  <c r="M34" i="1"/>
  <c r="T23" i="1" l="1"/>
  <c r="Q23" i="1"/>
  <c r="Q6" i="1"/>
  <c r="T6" i="1"/>
  <c r="T7" i="1" s="1"/>
  <c r="T8" i="1" s="1"/>
  <c r="T9" i="1" s="1"/>
  <c r="T26" i="1"/>
  <c r="T24" i="1"/>
  <c r="T25" i="1" s="1"/>
</calcChain>
</file>

<file path=xl/sharedStrings.xml><?xml version="1.0" encoding="utf-8"?>
<sst xmlns="http://schemas.openxmlformats.org/spreadsheetml/2006/main" count="46" uniqueCount="20">
  <si>
    <t>Assuming static interest rate for entire loan term</t>
  </si>
  <si>
    <t>Interest</t>
  </si>
  <si>
    <t>Principal</t>
  </si>
  <si>
    <t>Interest ($)</t>
  </si>
  <si>
    <t>Increase ($)</t>
  </si>
  <si>
    <t>Repay (Total)</t>
  </si>
  <si>
    <t>Repay (Self)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</si>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</sst>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#,##0.0000_);[Red]\(#,##0.000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8" fontId="0" fillId="0" borderId="0" xfId="0" applyNumberFormat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8" fontId="0" fillId="0" borderId="1" xfId="0" applyNumberFormat="1" applyBorder="1"/>
    <xf numFmtId="0" fontId="0" fillId="0" borderId="5" xfId="0" applyBorder="1"/>
    <xf numFmtId="8" fontId="0" fillId="0" borderId="4" xfId="0" applyNumberFormat="1" applyBorder="1"/>
    <xf numFmtId="0" fontId="0" fillId="0" borderId="6" xfId="0" applyBorder="1"/>
    <xf numFmtId="8" fontId="0" fillId="0" borderId="3" xfId="0" applyNumberFormat="1" applyBorder="1"/>
    <xf numFmtId="10" fontId="0" fillId="0" borderId="0" xfId="1" applyNumberFormat="1" applyFont="1"/>
    <xf numFmtId="16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0" fillId="2" borderId="0" xfId="0" applyFill="1"/>
    <xf numFmtId="0" fontId="0" fillId="0" borderId="7" xfId="0" applyBorder="1" applyAlignment="1">
      <alignment wrapText="1"/>
    </xf>
    <xf numFmtId="0" fontId="3" fillId="0" borderId="0" xfId="0" applyFont="1" applyAlignment="1">
      <alignment horizontal="center"/>
    </xf>
    <xf numFmtId="40" fontId="0" fillId="0" borderId="0" xfId="0" applyNumberFormat="1"/>
    <xf numFmtId="22" fontId="0" fillId="0" borderId="0" xfId="0" applyNumberFormat="1"/>
    <xf numFmtId="0" fontId="0" fillId="3" borderId="0" xfId="0" applyFill="1"/>
    <xf numFmtId="0" fontId="4" fillId="3" borderId="1" xfId="0" applyFont="1" applyFill="1" applyBorder="1" applyAlignment="1">
      <alignment horizontal="center"/>
    </xf>
    <xf numFmtId="8" fontId="4" fillId="3" borderId="0" xfId="0" applyNumberFormat="1" applyFont="1" applyFill="1"/>
    <xf numFmtId="8" fontId="4" fillId="3" borderId="1" xfId="0" applyNumberFormat="1" applyFont="1" applyFill="1" applyBorder="1"/>
    <xf numFmtId="0" fontId="0" fillId="4" borderId="0" xfId="0" applyFill="1"/>
    <xf numFmtId="0" fontId="4" fillId="4" borderId="1" xfId="0" applyFont="1" applyFill="1" applyBorder="1" applyAlignment="1">
      <alignment horizontal="center"/>
    </xf>
    <xf numFmtId="8" fontId="4" fillId="4" borderId="0" xfId="0" applyNumberFormat="1" applyFont="1" applyFill="1"/>
    <xf numFmtId="8" fontId="4" fillId="4" borderId="1" xfId="0" applyNumberFormat="1" applyFon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0" fontId="5" fillId="4" borderId="1" xfId="0" applyFont="1" applyFill="1" applyBorder="1" applyAlignment="1">
      <alignment horizontal="center"/>
    </xf>
    <xf numFmtId="8" fontId="5" fillId="4" borderId="0" xfId="0" applyNumberFormat="1" applyFont="1" applyFill="1"/>
    <xf numFmtId="8" fontId="5" fillId="4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8" fontId="5" fillId="3" borderId="0" xfId="0" applyNumberFormat="1" applyFont="1" applyFill="1"/>
    <xf numFmtId="8" fontId="5" fillId="3" borderId="1" xfId="0" applyNumberFormat="1" applyFont="1" applyFill="1" applyBorder="1"/>
    <xf numFmtId="0" fontId="0" fillId="3" borderId="5" xfId="0" applyFill="1" applyBorder="1"/>
    <xf numFmtId="8" fontId="0" fillId="3" borderId="4" xfId="0" applyNumberFormat="1" applyFill="1" applyBorder="1"/>
    <xf numFmtId="0" fontId="0" fillId="4" borderId="7" xfId="0" applyFill="1" applyBorder="1" applyAlignment="1">
      <alignment wrapText="1"/>
    </xf>
    <xf numFmtId="0" fontId="0" fillId="4" borderId="6" xfId="0" applyFill="1" applyBorder="1"/>
    <xf numFmtId="8" fontId="0" fillId="4" borderId="3" xfId="0" applyNumberFormat="1" applyFill="1" applyBorder="1"/>
    <xf numFmtId="0" fontId="0" fillId="3" borderId="7" xfId="0" applyFill="1" applyBorder="1" applyAlignment="1">
      <alignment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6D5A-2E5B-4B8F-925A-51AAA62DB907}">
  <dimension ref="A2:U34"/>
  <sheetViews>
    <sheetView tabSelected="1" workbookViewId="0">
      <selection activeCell="J14" sqref="J14"/>
    </sheetView>
  </sheetViews>
  <sheetFormatPr defaultColWidth="9.28515625" defaultRowHeight="15" x14ac:dyDescent="0.25"/>
  <cols>
    <col min="2" max="2" width="11" bestFit="1" customWidth="1"/>
    <col min="3" max="3" width="11.42578125" bestFit="1" customWidth="1"/>
    <col min="4" max="4" width="9.7109375" bestFit="1" customWidth="1"/>
    <col min="5" max="5" width="10.42578125" bestFit="1" customWidth="1"/>
    <col min="6" max="6" width="9.42578125" bestFit="1" customWidth="1"/>
    <col min="7" max="7" width="11.42578125" bestFit="1" customWidth="1"/>
    <col min="8" max="8" width="9.7109375" bestFit="1" customWidth="1"/>
    <col min="9" max="9" width="10.42578125" bestFit="1" customWidth="1"/>
    <col min="11" max="11" width="10.85546875" bestFit="1" customWidth="1"/>
    <col min="12" max="12" width="9.5703125" bestFit="1" customWidth="1"/>
    <col min="13" max="13" width="10.28515625" bestFit="1" customWidth="1"/>
    <col min="14" max="14" width="10.28515625" customWidth="1"/>
    <col min="15" max="15" width="10.85546875" bestFit="1" customWidth="1"/>
    <col min="16" max="16" width="9.5703125" bestFit="1" customWidth="1"/>
    <col min="17" max="17" width="10.28515625" customWidth="1"/>
    <col min="18" max="18" width="10.85546875" bestFit="1" customWidth="1"/>
    <col min="19" max="19" width="12.7109375" bestFit="1" customWidth="1"/>
    <col min="20" max="20" width="10.85546875" bestFit="1" customWidth="1"/>
    <col min="21" max="21" width="15.85546875" bestFit="1" customWidth="1"/>
  </cols>
  <sheetData>
    <row r="2" spans="1:21" x14ac:dyDescent="0.25">
      <c r="A2" s="10">
        <v>4.3900000000000002E-2</v>
      </c>
      <c r="B2" s="1">
        <v>10000</v>
      </c>
      <c r="C2" s="11">
        <f>A4/12</f>
        <v>0.01</v>
      </c>
    </row>
    <row r="3" spans="1:21" x14ac:dyDescent="0.25">
      <c r="A3" s="10">
        <v>0.1</v>
      </c>
      <c r="E3" s="11"/>
    </row>
    <row r="4" spans="1:21" ht="17.25" x14ac:dyDescent="0.3">
      <c r="A4" s="10">
        <v>0.12</v>
      </c>
      <c r="C4" s="41" t="s">
        <v>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16"/>
      <c r="O4" s="16"/>
      <c r="P4" s="16"/>
      <c r="Q4" s="16"/>
    </row>
    <row r="5" spans="1:21" x14ac:dyDescent="0.25">
      <c r="B5" s="2"/>
      <c r="C5" s="12" t="s">
        <v>2</v>
      </c>
      <c r="D5" s="12" t="s">
        <v>3</v>
      </c>
      <c r="E5" s="13" t="s">
        <v>4</v>
      </c>
      <c r="F5" s="2"/>
      <c r="G5" s="12" t="s">
        <v>2</v>
      </c>
      <c r="H5" s="12" t="s">
        <v>3</v>
      </c>
      <c r="I5" s="13" t="s">
        <v>4</v>
      </c>
      <c r="J5" s="2"/>
      <c r="K5" s="12" t="s">
        <v>2</v>
      </c>
      <c r="L5" s="12" t="s">
        <v>3</v>
      </c>
      <c r="M5" s="13" t="s">
        <v>4</v>
      </c>
      <c r="N5" s="2"/>
      <c r="O5" s="12" t="s">
        <v>2</v>
      </c>
      <c r="P5" s="12" t="s">
        <v>3</v>
      </c>
      <c r="Q5" s="13" t="s">
        <v>4</v>
      </c>
    </row>
    <row r="6" spans="1:21" x14ac:dyDescent="0.25">
      <c r="A6" s="19" t="s">
        <v>7</v>
      </c>
      <c r="B6" s="20">
        <v>1</v>
      </c>
      <c r="C6" s="21">
        <f>B2*(1+C2)</f>
        <v>10100</v>
      </c>
      <c r="D6" s="21">
        <f>B2*C2</f>
        <v>100</v>
      </c>
      <c r="E6" s="22">
        <f>C6-B2</f>
        <v>100</v>
      </c>
      <c r="F6" s="20">
        <v>13</v>
      </c>
      <c r="G6" s="21">
        <f>C17*(1+C2)</f>
        <v>11380.932804332895</v>
      </c>
      <c r="H6" s="21">
        <f>C17*C2</f>
        <v>112.68250301319699</v>
      </c>
      <c r="I6" s="22">
        <f>G6-B2</f>
        <v>1380.9328043328951</v>
      </c>
      <c r="J6" s="20">
        <v>25</v>
      </c>
      <c r="K6" s="21">
        <f>G17*(1+C2)</f>
        <v>12824.319950172341</v>
      </c>
      <c r="L6" s="21">
        <f>G17*C2</f>
        <v>126.97346485319149</v>
      </c>
      <c r="M6" s="22">
        <f>K6-B2</f>
        <v>2824.3199501723411</v>
      </c>
      <c r="N6" s="32">
        <v>37</v>
      </c>
      <c r="O6" s="33">
        <f>K17*(1+C2)</f>
        <v>14450.764714274967</v>
      </c>
      <c r="P6" s="33">
        <f>K17*C2</f>
        <v>143.07687835915809</v>
      </c>
      <c r="Q6" s="34">
        <f>O6-B2</f>
        <v>4450.7647142749665</v>
      </c>
      <c r="S6" s="35" t="s">
        <v>1</v>
      </c>
      <c r="T6" s="36">
        <f>O6-B2</f>
        <v>4450.7647142749665</v>
      </c>
    </row>
    <row r="7" spans="1:21" x14ac:dyDescent="0.25">
      <c r="A7" s="23" t="s">
        <v>8</v>
      </c>
      <c r="B7" s="24">
        <v>2</v>
      </c>
      <c r="C7" s="25">
        <f>C6*(1+C2)</f>
        <v>10201</v>
      </c>
      <c r="D7" s="25">
        <f>C6*C2</f>
        <v>101</v>
      </c>
      <c r="E7" s="26">
        <f>C7-B2</f>
        <v>201</v>
      </c>
      <c r="F7" s="24">
        <v>14</v>
      </c>
      <c r="G7" s="25">
        <f>G6*(1+C2)</f>
        <v>11494.742132376225</v>
      </c>
      <c r="H7" s="25">
        <f>G6*C2</f>
        <v>113.80932804332895</v>
      </c>
      <c r="I7" s="26">
        <f>G7-B2</f>
        <v>1494.7421323762246</v>
      </c>
      <c r="J7" s="24">
        <v>26</v>
      </c>
      <c r="K7" s="25">
        <f>K6*(1+C2)</f>
        <v>12952.563149674064</v>
      </c>
      <c r="L7" s="25">
        <f>K6*C2</f>
        <v>128.24319950172341</v>
      </c>
      <c r="M7" s="26">
        <f>K7-B2</f>
        <v>2952.5631496740643</v>
      </c>
      <c r="N7" s="1"/>
      <c r="O7" s="1"/>
      <c r="P7" s="1"/>
      <c r="Q7" s="1"/>
      <c r="S7" s="37" t="s">
        <v>5</v>
      </c>
      <c r="T7" s="28">
        <f>B2+T6</f>
        <v>14450.764714274967</v>
      </c>
    </row>
    <row r="8" spans="1:21" x14ac:dyDescent="0.25">
      <c r="A8" s="19" t="s">
        <v>9</v>
      </c>
      <c r="B8" s="20">
        <v>3</v>
      </c>
      <c r="C8" s="21">
        <f>C7*(1+C2)</f>
        <v>10303.01</v>
      </c>
      <c r="D8" s="21">
        <f>C7*C2</f>
        <v>102.01</v>
      </c>
      <c r="E8" s="22">
        <f>C8-B2</f>
        <v>303.01000000000022</v>
      </c>
      <c r="F8" s="20">
        <v>15</v>
      </c>
      <c r="G8" s="21">
        <f>G7*(1+C2)</f>
        <v>11609.689553699987</v>
      </c>
      <c r="H8" s="21">
        <f>G7*C2</f>
        <v>114.94742132376224</v>
      </c>
      <c r="I8" s="22">
        <f>G8-B2</f>
        <v>1609.6895536999873</v>
      </c>
      <c r="J8" s="20">
        <v>27</v>
      </c>
      <c r="K8" s="21">
        <f>K7*(1+C2)</f>
        <v>13082.088781170805</v>
      </c>
      <c r="L8" s="21">
        <f>K7*C2</f>
        <v>129.52563149674066</v>
      </c>
      <c r="M8" s="22">
        <f>K8-B2</f>
        <v>3082.0887811708053</v>
      </c>
      <c r="N8" s="1"/>
      <c r="O8" s="1"/>
      <c r="P8" s="1"/>
      <c r="Q8" s="1"/>
      <c r="S8" s="40" t="s">
        <v>6</v>
      </c>
      <c r="T8" s="27">
        <f>T7-B2</f>
        <v>4450.7647142749665</v>
      </c>
    </row>
    <row r="9" spans="1:21" x14ac:dyDescent="0.25">
      <c r="A9" s="23" t="s">
        <v>10</v>
      </c>
      <c r="B9" s="24">
        <v>4</v>
      </c>
      <c r="C9" s="25">
        <f>C8*(1+C2)</f>
        <v>10406.0401</v>
      </c>
      <c r="D9" s="25">
        <f>C8*C2</f>
        <v>103.0301</v>
      </c>
      <c r="E9" s="26">
        <f>C9-B2</f>
        <v>406.04010000000017</v>
      </c>
      <c r="F9" s="24">
        <v>16</v>
      </c>
      <c r="G9" s="25">
        <f>G8*(1+C2)</f>
        <v>11725.786449236988</v>
      </c>
      <c r="H9" s="25">
        <f>G8*C2</f>
        <v>116.09689553699988</v>
      </c>
      <c r="I9" s="26">
        <f>G9-B2</f>
        <v>1725.7864492369881</v>
      </c>
      <c r="J9" s="24">
        <v>28</v>
      </c>
      <c r="K9" s="25">
        <f>K8*(1+C2)</f>
        <v>13212.909668982513</v>
      </c>
      <c r="L9" s="25">
        <f>K8*C2</f>
        <v>130.82088781170805</v>
      </c>
      <c r="M9" s="26">
        <f>K9-B2</f>
        <v>3212.9096689825128</v>
      </c>
      <c r="N9" s="1"/>
      <c r="O9" s="1"/>
      <c r="P9" s="1"/>
      <c r="Q9" s="1"/>
      <c r="S9" s="38" t="s">
        <v>19</v>
      </c>
      <c r="T9" s="39">
        <f>B2-T8</f>
        <v>5549.2352857250335</v>
      </c>
    </row>
    <row r="10" spans="1:21" x14ac:dyDescent="0.25">
      <c r="A10" s="19" t="s">
        <v>11</v>
      </c>
      <c r="B10" s="20">
        <v>5</v>
      </c>
      <c r="C10" s="21">
        <f>C9*(1+C2)</f>
        <v>10510.100501000001</v>
      </c>
      <c r="D10" s="21">
        <f>C9*C2</f>
        <v>104.060401</v>
      </c>
      <c r="E10" s="22">
        <f>C10-B2</f>
        <v>510.1005010000008</v>
      </c>
      <c r="F10" s="20">
        <v>17</v>
      </c>
      <c r="G10" s="21">
        <f>G9*(1+C2)</f>
        <v>11843.044313729359</v>
      </c>
      <c r="H10" s="21">
        <f>G9*C2</f>
        <v>117.25786449236989</v>
      </c>
      <c r="I10" s="22">
        <f>G10-B2</f>
        <v>1843.0443137293587</v>
      </c>
      <c r="J10" s="20">
        <v>19</v>
      </c>
      <c r="K10" s="21">
        <f>K9*(1+C2)</f>
        <v>13345.038765672338</v>
      </c>
      <c r="L10" s="21">
        <f>K9*C2</f>
        <v>132.12909668982513</v>
      </c>
      <c r="M10" s="22">
        <f>K10-B2</f>
        <v>3345.0387656723378</v>
      </c>
      <c r="N10" s="1"/>
      <c r="P10" s="1"/>
      <c r="Q10" s="1"/>
    </row>
    <row r="11" spans="1:21" x14ac:dyDescent="0.25">
      <c r="A11" s="23" t="s">
        <v>12</v>
      </c>
      <c r="B11" s="24">
        <v>6</v>
      </c>
      <c r="C11" s="25">
        <f>C10*(1+C2)</f>
        <v>10615.20150601</v>
      </c>
      <c r="D11" s="25">
        <f>C10*C2</f>
        <v>105.10100501000001</v>
      </c>
      <c r="E11" s="26">
        <f>C11-B2</f>
        <v>615.20150601000023</v>
      </c>
      <c r="F11" s="24">
        <v>18</v>
      </c>
      <c r="G11" s="25">
        <f>G10*(1+C2)</f>
        <v>11961.474756866652</v>
      </c>
      <c r="H11" s="25">
        <f>G10*C2</f>
        <v>118.43044313729359</v>
      </c>
      <c r="I11" s="26">
        <f>G11-B2</f>
        <v>1961.4747568666517</v>
      </c>
      <c r="J11" s="24">
        <v>30</v>
      </c>
      <c r="K11" s="25">
        <f>K10*(1+C2)</f>
        <v>13478.489153329061</v>
      </c>
      <c r="L11" s="25">
        <f>K10*C2</f>
        <v>133.45038765672339</v>
      </c>
      <c r="M11" s="26">
        <f>K11-B2</f>
        <v>3478.4891533290611</v>
      </c>
      <c r="N11" s="1"/>
      <c r="O11" s="1"/>
      <c r="P11" s="1"/>
      <c r="Q11" s="1"/>
    </row>
    <row r="12" spans="1:21" x14ac:dyDescent="0.25">
      <c r="A12" s="19" t="s">
        <v>13</v>
      </c>
      <c r="B12" s="20">
        <v>7</v>
      </c>
      <c r="C12" s="21">
        <f>C11*(1+C2)</f>
        <v>10721.353521070101</v>
      </c>
      <c r="D12" s="21">
        <f>C11*C2</f>
        <v>106.1520150601</v>
      </c>
      <c r="E12" s="22">
        <f>C12-B2</f>
        <v>721.35352107010112</v>
      </c>
      <c r="F12" s="20">
        <v>19</v>
      </c>
      <c r="G12" s="21">
        <f>G11*(1+C2)</f>
        <v>12081.089504435318</v>
      </c>
      <c r="H12" s="21">
        <f>G11*C2</f>
        <v>119.61474756866652</v>
      </c>
      <c r="I12" s="22">
        <f>G12-B2</f>
        <v>2081.0895044353183</v>
      </c>
      <c r="J12" s="20">
        <v>31</v>
      </c>
      <c r="K12" s="21">
        <f>K11*(1+C2)</f>
        <v>13613.274044862352</v>
      </c>
      <c r="L12" s="21">
        <f>K11*C2</f>
        <v>134.78489153329062</v>
      </c>
      <c r="M12" s="22">
        <f>K12-B2</f>
        <v>3613.2740448623517</v>
      </c>
      <c r="N12" s="1"/>
      <c r="O12" s="1"/>
      <c r="P12" s="1"/>
      <c r="Q12" s="1"/>
    </row>
    <row r="13" spans="1:21" x14ac:dyDescent="0.25">
      <c r="A13" s="23" t="s">
        <v>14</v>
      </c>
      <c r="B13" s="24">
        <v>8</v>
      </c>
      <c r="C13" s="25">
        <f>C12*(1+C2)</f>
        <v>10828.567056280803</v>
      </c>
      <c r="D13" s="25">
        <f>C12*C2</f>
        <v>107.21353521070101</v>
      </c>
      <c r="E13" s="26">
        <f>C13-B2</f>
        <v>828.56705628080272</v>
      </c>
      <c r="F13" s="24">
        <v>20</v>
      </c>
      <c r="G13" s="25">
        <f>G12*(1+C2)</f>
        <v>12201.900399479671</v>
      </c>
      <c r="H13" s="25">
        <f>G12*C2</f>
        <v>120.81089504435319</v>
      </c>
      <c r="I13" s="26">
        <f>G13-B2</f>
        <v>2201.9003994796713</v>
      </c>
      <c r="J13" s="20">
        <v>32</v>
      </c>
      <c r="K13" s="21">
        <f>K12*(1+C2)</f>
        <v>13749.406785310975</v>
      </c>
      <c r="L13" s="21">
        <f>K12*C2</f>
        <v>136.13274044862351</v>
      </c>
      <c r="M13" s="22">
        <f>K13-B2</f>
        <v>3749.4067853109755</v>
      </c>
      <c r="N13" s="1"/>
      <c r="O13" s="1"/>
      <c r="P13" s="1"/>
      <c r="Q13" s="1"/>
      <c r="U13" s="17"/>
    </row>
    <row r="14" spans="1:21" x14ac:dyDescent="0.25">
      <c r="A14" s="19" t="s">
        <v>15</v>
      </c>
      <c r="B14" s="20">
        <v>9</v>
      </c>
      <c r="C14" s="21">
        <f>C13*(1+C2)</f>
        <v>10936.85272684361</v>
      </c>
      <c r="D14" s="21">
        <f>C13*C2</f>
        <v>108.28567056280804</v>
      </c>
      <c r="E14" s="22">
        <f>C14-B2</f>
        <v>936.85272684361007</v>
      </c>
      <c r="F14" s="20">
        <v>21</v>
      </c>
      <c r="G14" s="21">
        <f>G13*(1+C2)</f>
        <v>12323.919403474469</v>
      </c>
      <c r="H14" s="21">
        <f>G13*C2</f>
        <v>122.01900399479672</v>
      </c>
      <c r="I14" s="22">
        <f>G14-B2</f>
        <v>2323.9194034744687</v>
      </c>
      <c r="J14" s="32">
        <v>33</v>
      </c>
      <c r="K14" s="33">
        <f>K13*(1+C2)</f>
        <v>13886.900853164085</v>
      </c>
      <c r="L14" s="33">
        <f>K13*C2</f>
        <v>137.49406785310975</v>
      </c>
      <c r="M14" s="34">
        <f>K14-B2</f>
        <v>3886.9008531640848</v>
      </c>
      <c r="N14" s="1"/>
      <c r="O14" s="1"/>
      <c r="P14" s="1"/>
      <c r="Q14" s="1"/>
      <c r="U14" s="18"/>
    </row>
    <row r="15" spans="1:21" x14ac:dyDescent="0.25">
      <c r="A15" s="23" t="s">
        <v>16</v>
      </c>
      <c r="B15" s="24">
        <v>10</v>
      </c>
      <c r="C15" s="25">
        <f>C14*(1+C2)</f>
        <v>11046.221254112046</v>
      </c>
      <c r="D15" s="25">
        <f>C14*C2</f>
        <v>109.3685272684361</v>
      </c>
      <c r="E15" s="26">
        <f>C15-B2</f>
        <v>1046.2212541120462</v>
      </c>
      <c r="F15" s="24">
        <v>22</v>
      </c>
      <c r="G15" s="25">
        <f>G14*(1+C2)</f>
        <v>12447.158597509213</v>
      </c>
      <c r="H15" s="25">
        <f>G14*C2</f>
        <v>123.23919403474468</v>
      </c>
      <c r="I15" s="26">
        <f>G15-B2</f>
        <v>2447.158597509213</v>
      </c>
      <c r="J15" s="29">
        <v>34</v>
      </c>
      <c r="K15" s="30">
        <f>K14*(1+C2)</f>
        <v>14025.769861695726</v>
      </c>
      <c r="L15" s="30">
        <f>K14*C2</f>
        <v>138.86900853164084</v>
      </c>
      <c r="M15" s="31">
        <f>K15-B2</f>
        <v>4025.7698616957259</v>
      </c>
      <c r="N15" s="1"/>
      <c r="O15" s="1"/>
      <c r="P15" s="1"/>
      <c r="Q15" s="1"/>
    </row>
    <row r="16" spans="1:21" x14ac:dyDescent="0.25">
      <c r="A16" s="19" t="s">
        <v>17</v>
      </c>
      <c r="B16" s="20">
        <v>11</v>
      </c>
      <c r="C16" s="21">
        <f>C15*(1+C2)</f>
        <v>11156.683466653167</v>
      </c>
      <c r="D16" s="21">
        <f>C15*C2</f>
        <v>110.46221254112046</v>
      </c>
      <c r="E16" s="22">
        <f>C16-B2</f>
        <v>1156.6834666531668</v>
      </c>
      <c r="F16" s="20">
        <v>23</v>
      </c>
      <c r="G16" s="21">
        <f>G15*(1+C2)</f>
        <v>12571.630183484305</v>
      </c>
      <c r="H16" s="21">
        <f>G15*C2</f>
        <v>124.47158597509214</v>
      </c>
      <c r="I16" s="22">
        <f>G16-B2</f>
        <v>2571.6301834843052</v>
      </c>
      <c r="J16" s="32">
        <v>35</v>
      </c>
      <c r="K16" s="33">
        <f>K15*(1+C2)</f>
        <v>14166.027560312683</v>
      </c>
      <c r="L16" s="33">
        <f>K15*C2</f>
        <v>140.25769861695727</v>
      </c>
      <c r="M16" s="34">
        <f>K16-B2</f>
        <v>4166.0275603126829</v>
      </c>
      <c r="N16" s="1"/>
      <c r="O16" s="1"/>
      <c r="P16" s="1"/>
      <c r="Q16" s="1"/>
    </row>
    <row r="17" spans="1:20" x14ac:dyDescent="0.25">
      <c r="A17" s="23" t="s">
        <v>18</v>
      </c>
      <c r="B17" s="24">
        <v>12</v>
      </c>
      <c r="C17" s="25">
        <f>C16*(1+C2)</f>
        <v>11268.250301319698</v>
      </c>
      <c r="D17" s="25">
        <f>C16*C2</f>
        <v>111.56683466653168</v>
      </c>
      <c r="E17" s="26">
        <f>C17-B2</f>
        <v>1268.2503013196983</v>
      </c>
      <c r="F17" s="24">
        <v>24</v>
      </c>
      <c r="G17" s="25">
        <f>G16*(1+C2)</f>
        <v>12697.346485319149</v>
      </c>
      <c r="H17" s="25">
        <f>G16*C2</f>
        <v>125.71630183484305</v>
      </c>
      <c r="I17" s="26">
        <f>G17-B2</f>
        <v>2697.346485319149</v>
      </c>
      <c r="J17" s="29">
        <v>36</v>
      </c>
      <c r="K17" s="30">
        <f>K16*(1+C2)</f>
        <v>14307.687835915809</v>
      </c>
      <c r="L17" s="30">
        <f>K16*C2</f>
        <v>141.66027560312682</v>
      </c>
      <c r="M17" s="31">
        <f>K17-B2</f>
        <v>4307.687835915809</v>
      </c>
      <c r="N17" s="1"/>
      <c r="O17" s="1"/>
      <c r="P17" s="1"/>
      <c r="Q17" s="1"/>
    </row>
    <row r="18" spans="1:2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>
        <f>A2</f>
        <v>4.3900000000000002E-2</v>
      </c>
      <c r="B20" s="1">
        <v>40000</v>
      </c>
      <c r="C20" s="10">
        <f>A20</f>
        <v>4.3900000000000002E-2</v>
      </c>
      <c r="D20" s="11">
        <f>C20/12</f>
        <v>3.6583333333333333E-3</v>
      </c>
    </row>
    <row r="21" spans="1:20" ht="17.25" x14ac:dyDescent="0.3">
      <c r="C21" s="41" t="s">
        <v>0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16"/>
      <c r="O21" s="16"/>
      <c r="P21" s="16"/>
      <c r="Q21" s="16"/>
    </row>
    <row r="22" spans="1:20" x14ac:dyDescent="0.25">
      <c r="B22" s="2"/>
      <c r="C22" s="12" t="s">
        <v>2</v>
      </c>
      <c r="D22" s="12" t="s">
        <v>3</v>
      </c>
      <c r="E22" s="13" t="s">
        <v>4</v>
      </c>
      <c r="F22" s="2"/>
      <c r="G22" s="12" t="s">
        <v>2</v>
      </c>
      <c r="H22" s="12" t="s">
        <v>3</v>
      </c>
      <c r="I22" s="13" t="s">
        <v>4</v>
      </c>
      <c r="J22" s="2"/>
      <c r="K22" s="12" t="s">
        <v>2</v>
      </c>
      <c r="L22" s="12" t="s">
        <v>3</v>
      </c>
      <c r="M22" s="13" t="s">
        <v>4</v>
      </c>
      <c r="N22" s="2"/>
      <c r="O22" s="12" t="s">
        <v>2</v>
      </c>
      <c r="P22" s="12" t="s">
        <v>3</v>
      </c>
      <c r="Q22" s="13" t="s">
        <v>4</v>
      </c>
    </row>
    <row r="23" spans="1:20" x14ac:dyDescent="0.25">
      <c r="B23" s="3">
        <v>1</v>
      </c>
      <c r="C23" s="1">
        <f>B20*(1+D20)</f>
        <v>40146.333333333336</v>
      </c>
      <c r="D23" s="1">
        <f>B20*D20</f>
        <v>146.33333333333334</v>
      </c>
      <c r="E23" s="5">
        <f>C23-B20</f>
        <v>146.33333333333576</v>
      </c>
      <c r="F23" s="4">
        <v>13</v>
      </c>
      <c r="G23" s="1">
        <f>C34*(1+D20)</f>
        <v>41944.654819851363</v>
      </c>
      <c r="H23" s="1">
        <f>C34*D20</f>
        <v>152.88821283732636</v>
      </c>
      <c r="I23" s="5">
        <f>G23-B20</f>
        <v>1944.6548198513628</v>
      </c>
      <c r="J23" s="4">
        <v>25</v>
      </c>
      <c r="K23" s="1">
        <f>G34*(1+D20)</f>
        <v>43823.530616074873</v>
      </c>
      <c r="L23" s="1">
        <f>G34*D20</f>
        <v>159.73671269652579</v>
      </c>
      <c r="M23" s="5">
        <f>K23-B20</f>
        <v>3823.5306160748733</v>
      </c>
      <c r="N23" s="3">
        <v>37</v>
      </c>
      <c r="O23" s="1">
        <f>K34*(1+D20)</f>
        <v>45786.569085058371</v>
      </c>
      <c r="P23" s="1">
        <f>K34*D20</f>
        <v>166.89198538962151</v>
      </c>
      <c r="Q23" s="1">
        <f>O23-B20</f>
        <v>5786.5690850583705</v>
      </c>
      <c r="S23" s="6" t="s">
        <v>1</v>
      </c>
      <c r="T23" s="7">
        <f>O23-B20</f>
        <v>5786.5690850583705</v>
      </c>
    </row>
    <row r="24" spans="1:20" x14ac:dyDescent="0.25">
      <c r="B24" s="3">
        <v>2</v>
      </c>
      <c r="C24" s="1">
        <f>C23*(1+D20)</f>
        <v>40293.202002777776</v>
      </c>
      <c r="D24" s="1">
        <f>C23*D20</f>
        <v>146.86866944444446</v>
      </c>
      <c r="E24" s="5">
        <f>C24-B20</f>
        <v>293.20200277777622</v>
      </c>
      <c r="F24" s="3">
        <v>14</v>
      </c>
      <c r="G24" s="1">
        <f>G23*(1+D20)</f>
        <v>42098.102348733984</v>
      </c>
      <c r="H24" s="1">
        <f>G23*D20</f>
        <v>153.44752888262289</v>
      </c>
      <c r="I24" s="5">
        <f>G24-B20</f>
        <v>2098.1023487339844</v>
      </c>
      <c r="J24" s="3">
        <v>26</v>
      </c>
      <c r="K24" s="1">
        <f>K23*(1+D20)</f>
        <v>43983.851698912011</v>
      </c>
      <c r="L24" s="1">
        <f>K23*D20</f>
        <v>160.32108283714058</v>
      </c>
      <c r="M24" s="5">
        <f>K24-B20</f>
        <v>3983.8516989120108</v>
      </c>
      <c r="N24" s="1"/>
      <c r="O24" s="1"/>
      <c r="P24" s="1"/>
      <c r="Q24" s="1"/>
      <c r="S24" s="15" t="s">
        <v>5</v>
      </c>
      <c r="T24" s="5">
        <f>B20+T23</f>
        <v>45786.569085058371</v>
      </c>
    </row>
    <row r="25" spans="1:20" x14ac:dyDescent="0.25">
      <c r="B25" s="3">
        <v>3</v>
      </c>
      <c r="C25" s="1">
        <f>C24*(1+D20)</f>
        <v>40440.607966771269</v>
      </c>
      <c r="D25" s="1">
        <f>C24*D20</f>
        <v>147.40596399349536</v>
      </c>
      <c r="E25" s="5">
        <f>C25-B20</f>
        <v>440.60796677126928</v>
      </c>
      <c r="F25" s="3">
        <v>15</v>
      </c>
      <c r="G25" s="1">
        <f>G24*(1+D20)</f>
        <v>42252.111239826438</v>
      </c>
      <c r="H25" s="1">
        <f>G24*D20</f>
        <v>154.00889109245182</v>
      </c>
      <c r="I25" s="5">
        <f>G25-B20</f>
        <v>2252.1112398264377</v>
      </c>
      <c r="J25" s="3">
        <v>27</v>
      </c>
      <c r="K25" s="1">
        <f>K24*(1+D20)</f>
        <v>44144.759289710528</v>
      </c>
      <c r="L25" s="1">
        <f>K24*D20</f>
        <v>160.90759079851978</v>
      </c>
      <c r="M25" s="5">
        <f>K25-B20</f>
        <v>4144.7592897105278</v>
      </c>
      <c r="N25" s="1"/>
      <c r="O25" s="1"/>
      <c r="P25" s="1"/>
      <c r="Q25" s="1"/>
      <c r="S25" s="15" t="s">
        <v>6</v>
      </c>
      <c r="T25" s="5">
        <f>T24-B20</f>
        <v>5786.5690850583705</v>
      </c>
    </row>
    <row r="26" spans="1:20" x14ac:dyDescent="0.25">
      <c r="B26" s="3">
        <v>4</v>
      </c>
      <c r="C26" s="1">
        <f>C25*(1+D20)</f>
        <v>40588.553190916376</v>
      </c>
      <c r="D26" s="1">
        <f>C25*D20</f>
        <v>147.9452241451049</v>
      </c>
      <c r="E26" s="5">
        <f>C26-B20</f>
        <v>588.55319091637648</v>
      </c>
      <c r="F26" s="3">
        <v>16</v>
      </c>
      <c r="G26" s="1">
        <f>G25*(1+D20)</f>
        <v>42406.683546778804</v>
      </c>
      <c r="H26" s="1">
        <f>G25*D20</f>
        <v>154.57230695236504</v>
      </c>
      <c r="I26" s="5">
        <f>G26-B20</f>
        <v>2406.6835467788042</v>
      </c>
      <c r="J26" s="3">
        <v>28</v>
      </c>
      <c r="K26" s="1">
        <f>K25*(1+D20)</f>
        <v>44306.255534112053</v>
      </c>
      <c r="L26" s="1">
        <f>K25*D20</f>
        <v>161.49624440152434</v>
      </c>
      <c r="M26" s="5">
        <f>K26-B20</f>
        <v>4306.2555341120533</v>
      </c>
      <c r="N26" s="1"/>
      <c r="O26" s="1"/>
      <c r="P26" s="1"/>
      <c r="Q26" s="1"/>
      <c r="S26" s="8" t="s">
        <v>19</v>
      </c>
      <c r="T26" s="9">
        <f>B20-T23</f>
        <v>34213.430914941629</v>
      </c>
    </row>
    <row r="27" spans="1:20" x14ac:dyDescent="0.25">
      <c r="B27" s="3">
        <v>5</v>
      </c>
      <c r="C27" s="1">
        <f>C26*(1+D20)</f>
        <v>40737.039648006481</v>
      </c>
      <c r="D27" s="1">
        <f>C26*D20</f>
        <v>148.48645709010242</v>
      </c>
      <c r="E27" s="5">
        <f>C27-B20</f>
        <v>737.039648006481</v>
      </c>
      <c r="F27" s="3">
        <v>17</v>
      </c>
      <c r="G27" s="1">
        <f>G26*(1+D20)</f>
        <v>42561.821330754101</v>
      </c>
      <c r="H27" s="1">
        <f>G26*D20</f>
        <v>155.13778397529913</v>
      </c>
      <c r="I27" s="5">
        <f>G27-B20</f>
        <v>2561.8213307541009</v>
      </c>
      <c r="J27" s="3">
        <v>19</v>
      </c>
      <c r="K27" s="1">
        <f>K26*(1+D20)</f>
        <v>44468.342585607679</v>
      </c>
      <c r="L27" s="1">
        <f>K26*D20</f>
        <v>162.08705149562658</v>
      </c>
      <c r="M27" s="5">
        <f>K27-B20</f>
        <v>4468.3425856076792</v>
      </c>
      <c r="N27" s="1"/>
      <c r="O27" s="1"/>
      <c r="P27" s="1"/>
      <c r="Q27" s="1"/>
    </row>
    <row r="28" spans="1:20" x14ac:dyDescent="0.25">
      <c r="B28" s="3">
        <v>6</v>
      </c>
      <c r="C28" s="1">
        <f>C27*(1+D20)</f>
        <v>40886.069318052105</v>
      </c>
      <c r="D28" s="1">
        <f>C27*D20</f>
        <v>149.0296700456237</v>
      </c>
      <c r="E28" s="5">
        <f>C28-B20</f>
        <v>886.06931805210479</v>
      </c>
      <c r="F28" s="3">
        <v>18</v>
      </c>
      <c r="G28" s="1">
        <f>G27*(1+D20)</f>
        <v>42717.526660455776</v>
      </c>
      <c r="H28" s="1">
        <f>G27*D20</f>
        <v>155.70532970167542</v>
      </c>
      <c r="I28" s="5">
        <f>G28-B20</f>
        <v>2717.5266604557764</v>
      </c>
      <c r="J28" s="3">
        <v>30</v>
      </c>
      <c r="K28" s="1">
        <f>K27*(1+D20)</f>
        <v>44631.022605566694</v>
      </c>
      <c r="L28" s="1">
        <f>K27*D20</f>
        <v>162.68001995901477</v>
      </c>
      <c r="M28" s="5">
        <f>K28-B20</f>
        <v>4631.0226055666935</v>
      </c>
      <c r="N28" s="1"/>
      <c r="O28" s="1"/>
      <c r="P28" s="1"/>
      <c r="Q28" s="1"/>
    </row>
    <row r="29" spans="1:20" x14ac:dyDescent="0.25">
      <c r="B29" s="3">
        <v>7</v>
      </c>
      <c r="C29" s="1">
        <f>C28*(1+D20)</f>
        <v>41035.644188307313</v>
      </c>
      <c r="D29" s="1">
        <f>C28*D20</f>
        <v>149.57487025520729</v>
      </c>
      <c r="E29" s="5">
        <f>C29-B20</f>
        <v>1035.644188307313</v>
      </c>
      <c r="F29" s="3">
        <v>19</v>
      </c>
      <c r="G29" s="1">
        <f>G28*(1+D20)</f>
        <v>42873.801612155279</v>
      </c>
      <c r="H29" s="1">
        <f>G28*D20</f>
        <v>156.27495169950072</v>
      </c>
      <c r="I29" s="5">
        <f>G29-B20</f>
        <v>2873.8016121552791</v>
      </c>
      <c r="J29" s="3">
        <v>31</v>
      </c>
      <c r="K29" s="1">
        <f>K28*(1+D20)</f>
        <v>44794.297763265393</v>
      </c>
      <c r="L29" s="1">
        <f>K28*D20</f>
        <v>163.27515769869817</v>
      </c>
      <c r="M29" s="5">
        <f>K29-B20</f>
        <v>4794.2977632653929</v>
      </c>
      <c r="N29" s="1"/>
      <c r="O29" s="1"/>
      <c r="P29" s="1"/>
      <c r="Q29" s="1"/>
    </row>
    <row r="30" spans="1:20" x14ac:dyDescent="0.25">
      <c r="B30" s="3">
        <v>8</v>
      </c>
      <c r="C30" s="1">
        <f>C29*(1+D20)</f>
        <v>41185.766253296206</v>
      </c>
      <c r="D30" s="1">
        <f>C29*D20</f>
        <v>150.12206498889091</v>
      </c>
      <c r="E30" s="5">
        <f>C30-B20</f>
        <v>1185.7662532962058</v>
      </c>
      <c r="F30" s="3">
        <v>20</v>
      </c>
      <c r="G30" s="1">
        <f>G29*(1+D20)</f>
        <v>43030.64826971975</v>
      </c>
      <c r="H30" s="1">
        <f>G29*D20</f>
        <v>156.84665756446807</v>
      </c>
      <c r="I30" s="5">
        <f>G30-B20</f>
        <v>3030.6482697197498</v>
      </c>
      <c r="J30" s="3">
        <v>32</v>
      </c>
      <c r="K30" s="1">
        <f>K29*(1+D20)</f>
        <v>44958.170235916004</v>
      </c>
      <c r="L30" s="1">
        <f>K29*D20</f>
        <v>163.87247265061256</v>
      </c>
      <c r="M30" s="5">
        <f>K30-B20</f>
        <v>4958.1702359160045</v>
      </c>
      <c r="N30" s="1"/>
      <c r="O30" s="1"/>
      <c r="P30" s="1"/>
      <c r="Q30" s="1"/>
    </row>
    <row r="31" spans="1:20" x14ac:dyDescent="0.25">
      <c r="B31" s="3">
        <v>9</v>
      </c>
      <c r="C31" s="1">
        <f>C30*(1+D20)</f>
        <v>41336.437514839512</v>
      </c>
      <c r="D31" s="1">
        <f>C30*D20</f>
        <v>150.67126154330862</v>
      </c>
      <c r="E31" s="5">
        <f>C31-B20</f>
        <v>1336.437514839512</v>
      </c>
      <c r="F31" s="3">
        <v>21</v>
      </c>
      <c r="G31" s="1">
        <f>G30*(1+D20)</f>
        <v>43188.068724639808</v>
      </c>
      <c r="H31" s="1">
        <f>G30*D20</f>
        <v>157.42045492005809</v>
      </c>
      <c r="I31" s="5">
        <f>G31-B20</f>
        <v>3188.0687246398084</v>
      </c>
      <c r="J31" s="3">
        <v>33</v>
      </c>
      <c r="K31" s="1">
        <f>K30*(1+D20)</f>
        <v>45122.642208695732</v>
      </c>
      <c r="L31" s="1">
        <f>K30*D20</f>
        <v>164.47197277972606</v>
      </c>
      <c r="M31" s="5">
        <f>K31-B20</f>
        <v>5122.6422086957318</v>
      </c>
      <c r="N31" s="1"/>
      <c r="O31" s="1"/>
      <c r="P31" s="1"/>
      <c r="Q31" s="1"/>
    </row>
    <row r="32" spans="1:20" x14ac:dyDescent="0.25">
      <c r="B32" s="3">
        <v>10</v>
      </c>
      <c r="C32" s="1">
        <f>C31*(1+D20)</f>
        <v>41487.659982081299</v>
      </c>
      <c r="D32" s="1">
        <f>C31*D20</f>
        <v>151.22246724178788</v>
      </c>
      <c r="E32" s="5">
        <f>C32-B20</f>
        <v>1487.6599820812989</v>
      </c>
      <c r="F32" s="3">
        <v>22</v>
      </c>
      <c r="G32" s="1">
        <f>G31*(1+D20)</f>
        <v>43346.06507605745</v>
      </c>
      <c r="H32" s="1">
        <f>G31*D20</f>
        <v>157.99635141764062</v>
      </c>
      <c r="I32" s="5">
        <f>G32-B20</f>
        <v>3346.0650760574499</v>
      </c>
      <c r="J32" s="3">
        <v>34</v>
      </c>
      <c r="K32" s="1">
        <f>K31*(1+D20)</f>
        <v>45287.715874775873</v>
      </c>
      <c r="L32" s="1">
        <f>K31*D20</f>
        <v>165.07366608014522</v>
      </c>
      <c r="M32" s="5">
        <f>K32-B20</f>
        <v>5287.7158747758731</v>
      </c>
      <c r="N32" s="1"/>
      <c r="O32" s="1"/>
      <c r="P32" s="1"/>
      <c r="Q32" s="1"/>
    </row>
    <row r="33" spans="2:17" x14ac:dyDescent="0.25">
      <c r="B33" s="3">
        <v>11</v>
      </c>
      <c r="C33" s="1">
        <f>C32*(1+D20)</f>
        <v>41639.435671515748</v>
      </c>
      <c r="D33" s="1">
        <f>C32*D20</f>
        <v>151.77568943444743</v>
      </c>
      <c r="E33" s="5">
        <f>C33-B20</f>
        <v>1639.4356715157483</v>
      </c>
      <c r="F33" s="3">
        <v>23</v>
      </c>
      <c r="G33" s="1">
        <f>G32*(1+D20)</f>
        <v>43504.639430794028</v>
      </c>
      <c r="H33" s="1">
        <f>G32*D20</f>
        <v>158.57435473657685</v>
      </c>
      <c r="I33" s="5">
        <f>G33-B20</f>
        <v>3504.6394307940282</v>
      </c>
      <c r="J33" s="3">
        <v>35</v>
      </c>
      <c r="K33" s="1">
        <f>K32*(1+D20)</f>
        <v>45453.393435351092</v>
      </c>
      <c r="L33" s="1">
        <f>K32*D20</f>
        <v>165.67756057522175</v>
      </c>
      <c r="M33" s="5">
        <f>K33-B20</f>
        <v>5453.3934353510922</v>
      </c>
      <c r="N33" s="1"/>
      <c r="O33" s="1"/>
      <c r="P33" s="1"/>
      <c r="Q33" s="1"/>
    </row>
    <row r="34" spans="2:17" x14ac:dyDescent="0.25">
      <c r="B34" s="3">
        <v>12</v>
      </c>
      <c r="C34" s="1">
        <f>C33*(1+D20)</f>
        <v>41791.76660701404</v>
      </c>
      <c r="D34" s="1">
        <f>C33*D20</f>
        <v>152.3309354982951</v>
      </c>
      <c r="E34" s="5">
        <f>C34-B20</f>
        <v>1791.7666070140403</v>
      </c>
      <c r="F34" s="3">
        <v>24</v>
      </c>
      <c r="G34" s="1">
        <f>G33*(1+D20)</f>
        <v>43663.793903378348</v>
      </c>
      <c r="H34" s="1">
        <f>G33*D20</f>
        <v>159.1544725843215</v>
      </c>
      <c r="I34" s="5">
        <f>G34-B20</f>
        <v>3663.7939033783477</v>
      </c>
      <c r="J34" s="3">
        <v>36</v>
      </c>
      <c r="K34" s="1">
        <f>K33*(1+D20)</f>
        <v>45619.677099668748</v>
      </c>
      <c r="L34" s="1">
        <f>K33*D20</f>
        <v>166.2836643176594</v>
      </c>
      <c r="M34" s="5">
        <f>K34-B20</f>
        <v>5619.6770996687483</v>
      </c>
      <c r="N34" s="1"/>
      <c r="O34" s="1"/>
      <c r="P34" s="1"/>
      <c r="Q34" s="1"/>
    </row>
  </sheetData>
  <mergeCells count="2">
    <mergeCell ref="C21:M21"/>
    <mergeCell ref="C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Wholesale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Stuart</dc:creator>
  <cp:lastModifiedBy>Nathan Stuart</cp:lastModifiedBy>
  <dcterms:created xsi:type="dcterms:W3CDTF">2025-03-05T17:43:19Z</dcterms:created>
  <dcterms:modified xsi:type="dcterms:W3CDTF">2026-10-07T15:17:00Z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c92d4e-2488-4e27-8d11-718a63a2fa0f_Enabled">
    <vt:lpwstr>true</vt:lpwstr>
  </property>
  <property fmtid="{D5CDD505-2E9C-101B-9397-08002B2CF9AE}" pid="3" name="MSIP_Label_bcc92d4e-2488-4e27-8d11-718a63a2fa0f_SetDate">
    <vt:lpwstr>2025-03-20T12:16:41Z</vt:lpwstr>
  </property>
  <property fmtid="{D5CDD505-2E9C-101B-9397-08002B2CF9AE}" pid="4" name="MSIP_Label_bcc92d4e-2488-4e27-8d11-718a63a2fa0f_Method">
    <vt:lpwstr>Standard</vt:lpwstr>
  </property>
  <property fmtid="{D5CDD505-2E9C-101B-9397-08002B2CF9AE}" pid="5" name="MSIP_Label_bcc92d4e-2488-4e27-8d11-718a63a2fa0f_Name">
    <vt:lpwstr>bcc92d4e-2488-4e27-8d11-718a63a2fa0f</vt:lpwstr>
  </property>
  <property fmtid="{D5CDD505-2E9C-101B-9397-08002B2CF9AE}" pid="6" name="MSIP_Label_bcc92d4e-2488-4e27-8d11-718a63a2fa0f_SiteId">
    <vt:lpwstr>13d3189d-22a4-4f96-bbc9-2af46c222581</vt:lpwstr>
  </property>
  <property fmtid="{D5CDD505-2E9C-101B-9397-08002B2CF9AE}" pid="7" name="MSIP_Label_bcc92d4e-2488-4e27-8d11-718a63a2fa0f_ActionId">
    <vt:lpwstr>fd573d08-177c-4020-8cf9-09056ee13725</vt:lpwstr>
  </property>
  <property fmtid="{D5CDD505-2E9C-101B-9397-08002B2CF9AE}" pid="8" name="MSIP_Label_bcc92d4e-2488-4e27-8d11-718a63a2fa0f_ContentBits">
    <vt:lpwstr>0</vt:lpwstr>
  </property>
  <property fmtid="{D5CDD505-2E9C-101B-9397-08002B2CF9AE}" pid="9" name="MSIP_Label_bcc92d4e-2488-4e27-8d11-718a63a2fa0f_Tag">
    <vt:lpwstr>10, 3, 0, 1</vt:lpwstr>
  </property>
</Properties>
</file>