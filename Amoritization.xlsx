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352D6AC4-0EFA-46F3-B7B0-DD0263930DF7}" xr6:coauthVersionLast="47" xr6:coauthVersionMax="47" xr10:uidLastSave="{00000000-0000-0000-0000-000000000000}"/>
  <bookViews>
    <workbookView xWindow="4155" yWindow="1095" windowWidth="24360" windowHeight="1690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20" i="1"/>
  <c r="A20" i="1" l="1"/>
  <c r="D20" i="1" s="1"/>
  <c r="D23" i="1" s="1"/>
  <c r="D2" i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L17" i="1"/>
  <c r="M16" i="1"/>
  <c r="K34" i="1"/>
  <c r="P23" i="1" l="1"/>
  <c r="O23" i="1"/>
  <c r="O6" i="1"/>
  <c r="P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<sst xmlns="http://schemas.openxmlformats.org/spreadsheetml/2006/main" count="46" uniqueCount="20">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</sst>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T34"/>
  <sheetViews>
    <sheetView tabSelected="1" workbookViewId="0">
      <selection activeCell="J7" sqref="J7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</cols>
  <sheetData>
    <row r="2" spans="1:20" x14ac:dyDescent="0.25">
      <c r="A2" s="10">
        <v>3.5999999999999997E-2</v>
      </c>
      <c r="B2" s="1">
        <v>10000</v>
      </c>
      <c r="C2" s="10">
        <f>A3</f>
        <v>0.1</v>
      </c>
      <c r="D2" s="11">
        <f>C2/12</f>
        <v>8.3333333333333332E-3</v>
      </c>
    </row>
    <row r="3" spans="1:20" x14ac:dyDescent="0.25">
      <c r="A3" s="10">
        <v>0.1</v>
      </c>
      <c r="E3" s="11"/>
    </row>
    <row r="4" spans="1:20" ht="17.25" x14ac:dyDescent="0.3">
      <c r="A4" s="10"/>
      <c r="C4" s="21" t="s">
        <v>0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0"/>
      <c r="O4" s="20"/>
      <c r="P4" s="20"/>
      <c r="Q4" s="20"/>
    </row>
    <row r="5" spans="1:20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0" x14ac:dyDescent="0.25">
      <c r="A6" t="s">
        <v>7</v>
      </c>
      <c r="B6" s="19">
        <v>1</v>
      </c>
      <c r="C6" s="17">
        <f>B2*(1+D2)</f>
        <v>10083.333333333334</v>
      </c>
      <c r="D6" s="17">
        <f>B2*D2</f>
        <v>83.333333333333329</v>
      </c>
      <c r="E6" s="18">
        <f>C6-B2</f>
        <v>83.33333333333394</v>
      </c>
      <c r="F6" s="16">
        <v>13</v>
      </c>
      <c r="G6" s="17">
        <f>C17*(1+D2)</f>
        <v>11139.190096699742</v>
      </c>
      <c r="H6" s="17">
        <f>C17*D2</f>
        <v>92.059422286774719</v>
      </c>
      <c r="I6" s="18">
        <f>G6-B2</f>
        <v>1139.1900966997418</v>
      </c>
      <c r="J6" s="16">
        <v>25</v>
      </c>
      <c r="K6" s="17">
        <f>G17*(1+D2)</f>
        <v>12305.608860536884</v>
      </c>
      <c r="L6" s="17">
        <f>G17*D2</f>
        <v>101.69924678129657</v>
      </c>
      <c r="M6" s="18">
        <f>K6-B2</f>
        <v>2305.6088605368841</v>
      </c>
      <c r="N6" s="3">
        <v>37</v>
      </c>
      <c r="O6" s="1">
        <f>K17*(1+D2)</f>
        <v>13594.1669110565</v>
      </c>
      <c r="P6" s="1">
        <f>K17*D2</f>
        <v>112.34848686823554</v>
      </c>
      <c r="Q6" s="5">
        <f>O6-B2</f>
        <v>3594.1669110564999</v>
      </c>
      <c r="S6" s="6" t="s">
        <v>1</v>
      </c>
      <c r="T6" s="7">
        <f>O6-B2</f>
        <v>3594.1669110564999</v>
      </c>
    </row>
    <row r="7" spans="1:20" x14ac:dyDescent="0.25">
      <c r="A7" t="s">
        <v>8</v>
      </c>
      <c r="B7" s="19">
        <v>2</v>
      </c>
      <c r="C7" s="17">
        <f>C6*(1+D2)</f>
        <v>10167.361111111111</v>
      </c>
      <c r="D7" s="17">
        <f>C6*D2</f>
        <v>84.027777777777786</v>
      </c>
      <c r="E7" s="18">
        <f>C7-B2</f>
        <v>167.36111111111131</v>
      </c>
      <c r="F7" s="19">
        <v>14</v>
      </c>
      <c r="G7" s="17">
        <f>G6*(1+D2)</f>
        <v>11232.016680838906</v>
      </c>
      <c r="H7" s="17">
        <f>G6*D2</f>
        <v>92.82658413916451</v>
      </c>
      <c r="I7" s="18">
        <f>G7-B2</f>
        <v>1232.0166808389058</v>
      </c>
      <c r="J7" s="3">
        <v>26</v>
      </c>
      <c r="K7" s="1">
        <f>K6*(1+D2)</f>
        <v>12408.155601041357</v>
      </c>
      <c r="L7" s="1">
        <f>K6*D2</f>
        <v>102.54674050447403</v>
      </c>
      <c r="M7" s="5">
        <f>K7-B2</f>
        <v>2408.1556010413569</v>
      </c>
      <c r="N7" s="1"/>
      <c r="O7" s="1"/>
      <c r="P7" s="1"/>
      <c r="Q7" s="1"/>
      <c r="S7" s="15" t="s">
        <v>5</v>
      </c>
      <c r="T7" s="5">
        <f>B2+T6</f>
        <v>13594.1669110565</v>
      </c>
    </row>
    <row r="8" spans="1:20" x14ac:dyDescent="0.25">
      <c r="A8" t="s">
        <v>9</v>
      </c>
      <c r="B8" s="19">
        <v>3</v>
      </c>
      <c r="C8" s="17">
        <f>C7*(1+D2)</f>
        <v>10252.08912037037</v>
      </c>
      <c r="D8" s="17">
        <f>C7*D2</f>
        <v>84.728009259259267</v>
      </c>
      <c r="E8" s="18">
        <f>C8-B2</f>
        <v>252.08912037037044</v>
      </c>
      <c r="F8" s="19">
        <v>15</v>
      </c>
      <c r="G8" s="17">
        <f>G7*(1+D2)</f>
        <v>11325.616819845896</v>
      </c>
      <c r="H8" s="17">
        <f>G7*D2</f>
        <v>93.600139006990887</v>
      </c>
      <c r="I8" s="18">
        <f>G8-B2</f>
        <v>1325.6168198458963</v>
      </c>
      <c r="J8" s="3">
        <v>27</v>
      </c>
      <c r="K8" s="1">
        <f>K7*(1+D2)</f>
        <v>12511.5568977167</v>
      </c>
      <c r="L8" s="1">
        <f>K7*D2</f>
        <v>103.40129667534464</v>
      </c>
      <c r="M8" s="5">
        <f>K8-B2</f>
        <v>2511.5568977167004</v>
      </c>
      <c r="N8" s="1"/>
      <c r="O8" s="1"/>
      <c r="P8" s="1"/>
      <c r="Q8" s="1"/>
      <c r="S8" s="15" t="s">
        <v>6</v>
      </c>
      <c r="T8" s="5">
        <f>T7-B2</f>
        <v>3594.1669110564999</v>
      </c>
    </row>
    <row r="9" spans="1:20" x14ac:dyDescent="0.25">
      <c r="A9" t="s">
        <v>10</v>
      </c>
      <c r="B9" s="19">
        <v>4</v>
      </c>
      <c r="C9" s="17">
        <f>C8*(1+D2)</f>
        <v>10337.523196373457</v>
      </c>
      <c r="D9" s="17">
        <f>C8*D2</f>
        <v>85.434076003086417</v>
      </c>
      <c r="E9" s="18">
        <f>C9-B2</f>
        <v>337.52319637345681</v>
      </c>
      <c r="F9" s="19">
        <v>16</v>
      </c>
      <c r="G9" s="17">
        <f>G8*(1+D2)</f>
        <v>11419.996960011278</v>
      </c>
      <c r="H9" s="17">
        <f>G8*D2</f>
        <v>94.380140165382471</v>
      </c>
      <c r="I9" s="18">
        <f>G9-B2</f>
        <v>1419.9969600112781</v>
      </c>
      <c r="J9" s="3">
        <v>28</v>
      </c>
      <c r="K9" s="1">
        <f>K8*(1+D2)</f>
        <v>12615.81987186434</v>
      </c>
      <c r="L9" s="1">
        <f>K8*D2</f>
        <v>104.26297414763917</v>
      </c>
      <c r="M9" s="5">
        <f>K9-B2</f>
        <v>2615.8198718643398</v>
      </c>
      <c r="N9" s="1"/>
      <c r="O9" s="1"/>
      <c r="P9" s="1"/>
      <c r="Q9" s="1"/>
      <c r="S9" s="8" t="s">
        <v>19</v>
      </c>
      <c r="T9" s="9">
        <f>B2-T8</f>
        <v>6405.8330889435001</v>
      </c>
    </row>
    <row r="10" spans="1:20" x14ac:dyDescent="0.25">
      <c r="A10" t="s">
        <v>11</v>
      </c>
      <c r="B10" s="19">
        <v>5</v>
      </c>
      <c r="C10" s="17">
        <f>C9*(1+D2)</f>
        <v>10423.669223009902</v>
      </c>
      <c r="D10" s="17">
        <f>C9*D2</f>
        <v>86.14602663644547</v>
      </c>
      <c r="E10" s="18">
        <f>C10-B2</f>
        <v>423.66922300990154</v>
      </c>
      <c r="F10" s="19">
        <v>17</v>
      </c>
      <c r="G10" s="17">
        <f>G9*(1+D2)</f>
        <v>11515.163601344706</v>
      </c>
      <c r="H10" s="17">
        <f>G9*D2</f>
        <v>95.166641333427322</v>
      </c>
      <c r="I10" s="18">
        <f>G10-B2</f>
        <v>1515.163601344706</v>
      </c>
      <c r="J10" s="3">
        <v>19</v>
      </c>
      <c r="K10" s="1">
        <f>K9*(1+D2)</f>
        <v>12720.951704129875</v>
      </c>
      <c r="L10" s="1">
        <f>K9*D2</f>
        <v>105.13183226553616</v>
      </c>
      <c r="M10" s="5">
        <f>K10-B2</f>
        <v>2720.951704129875</v>
      </c>
      <c r="N10" s="1"/>
      <c r="O10" s="1"/>
      <c r="P10" s="1"/>
      <c r="Q10" s="1"/>
    </row>
    <row r="11" spans="1:20" x14ac:dyDescent="0.25">
      <c r="A11" t="s">
        <v>12</v>
      </c>
      <c r="B11" s="19">
        <v>6</v>
      </c>
      <c r="C11" s="17">
        <f>C10*(1+D2)</f>
        <v>10510.53313320165</v>
      </c>
      <c r="D11" s="17">
        <f>C10*D2</f>
        <v>86.863910191749184</v>
      </c>
      <c r="E11" s="18">
        <f>C11-B2</f>
        <v>510.53313320165034</v>
      </c>
      <c r="F11" s="19">
        <v>18</v>
      </c>
      <c r="G11" s="17">
        <f>G10*(1+D2)</f>
        <v>11611.123298022578</v>
      </c>
      <c r="H11" s="17">
        <f>G10*D2</f>
        <v>95.959696677872543</v>
      </c>
      <c r="I11" s="18">
        <f>G11-B2</f>
        <v>1611.1232980225777</v>
      </c>
      <c r="J11" s="3">
        <v>30</v>
      </c>
      <c r="K11" s="1">
        <f>K10*(1+D2)</f>
        <v>12826.959634997624</v>
      </c>
      <c r="L11" s="1">
        <f>K10*D2</f>
        <v>106.00793086774895</v>
      </c>
      <c r="M11" s="5">
        <f>K11-B2</f>
        <v>2826.9596349976237</v>
      </c>
      <c r="N11" s="1"/>
      <c r="O11" s="1"/>
      <c r="P11" s="1"/>
      <c r="Q11" s="1"/>
    </row>
    <row r="12" spans="1:20" x14ac:dyDescent="0.25">
      <c r="A12" t="s">
        <v>13</v>
      </c>
      <c r="B12" s="19">
        <v>7</v>
      </c>
      <c r="C12" s="17">
        <f>C11*(1+D2)</f>
        <v>10598.120909311663</v>
      </c>
      <c r="D12" s="17">
        <f>C11*D2</f>
        <v>87.587776110013749</v>
      </c>
      <c r="E12" s="18">
        <f>C12-B2</f>
        <v>598.12090931166313</v>
      </c>
      <c r="F12" s="19">
        <v>19</v>
      </c>
      <c r="G12" s="17">
        <f>G11*(1+D2)</f>
        <v>11707.882658839431</v>
      </c>
      <c r="H12" s="17">
        <f>G11*D2</f>
        <v>96.759360816854809</v>
      </c>
      <c r="I12" s="18">
        <f>G12-B2</f>
        <v>1707.8826588394313</v>
      </c>
      <c r="J12" s="3">
        <v>31</v>
      </c>
      <c r="K12" s="1">
        <f>K11*(1+D2)</f>
        <v>12933.85096528927</v>
      </c>
      <c r="L12" s="1">
        <f>K11*D2</f>
        <v>106.89133029164687</v>
      </c>
      <c r="M12" s="5">
        <f>K12-B2</f>
        <v>2933.8509652892699</v>
      </c>
      <c r="N12" s="1"/>
      <c r="O12" s="1"/>
      <c r="P12" s="1"/>
      <c r="Q12" s="1"/>
    </row>
    <row r="13" spans="1:20" x14ac:dyDescent="0.25">
      <c r="A13" t="s">
        <v>14</v>
      </c>
      <c r="B13" s="19">
        <v>8</v>
      </c>
      <c r="C13" s="17">
        <f>C12*(1+D2)</f>
        <v>10686.438583555926</v>
      </c>
      <c r="D13" s="17">
        <f>C12*D2</f>
        <v>88.317674244263856</v>
      </c>
      <c r="E13" s="18">
        <f>C13-B2</f>
        <v>686.43858355592602</v>
      </c>
      <c r="F13" s="19">
        <v>20</v>
      </c>
      <c r="G13" s="17">
        <f>G12*(1+D2)</f>
        <v>11805.448347663092</v>
      </c>
      <c r="H13" s="17">
        <f>G12*D2</f>
        <v>97.56568882366193</v>
      </c>
      <c r="I13" s="18">
        <f>G13-B2</f>
        <v>1805.4483476630921</v>
      </c>
      <c r="J13" s="3">
        <v>32</v>
      </c>
      <c r="K13" s="1">
        <f>K12*(1+D2)</f>
        <v>13041.63305666668</v>
      </c>
      <c r="L13" s="1">
        <f>K12*D2</f>
        <v>107.78209137741058</v>
      </c>
      <c r="M13" s="5">
        <f>K13-B2</f>
        <v>3041.6330566666802</v>
      </c>
      <c r="N13" s="1"/>
      <c r="O13" s="1"/>
      <c r="P13" s="1"/>
      <c r="Q13" s="1"/>
    </row>
    <row r="14" spans="1:20" x14ac:dyDescent="0.25">
      <c r="A14" t="s">
        <v>15</v>
      </c>
      <c r="B14" s="19">
        <v>9</v>
      </c>
      <c r="C14" s="17">
        <f>C13*(1+D2)</f>
        <v>10775.492238418892</v>
      </c>
      <c r="D14" s="17">
        <f>C13*D2</f>
        <v>89.053654862966056</v>
      </c>
      <c r="E14" s="18">
        <f>C14-B2</f>
        <v>775.49223841889216</v>
      </c>
      <c r="F14" s="19">
        <v>21</v>
      </c>
      <c r="G14" s="17">
        <f>G13*(1+D2)</f>
        <v>11903.827083893617</v>
      </c>
      <c r="H14" s="17">
        <f>G13*D2</f>
        <v>98.37873623052576</v>
      </c>
      <c r="I14" s="18">
        <f>G14-B2</f>
        <v>1903.8270838936169</v>
      </c>
      <c r="J14" s="3">
        <v>33</v>
      </c>
      <c r="K14" s="1">
        <f>K13*(1+D2)</f>
        <v>13150.313332138901</v>
      </c>
      <c r="L14" s="1">
        <f>K13*D2</f>
        <v>108.68027547222233</v>
      </c>
      <c r="M14" s="5">
        <f>K14-B2</f>
        <v>3150.3133321389014</v>
      </c>
      <c r="N14" s="1"/>
      <c r="O14" s="1"/>
      <c r="P14" s="1"/>
      <c r="Q14" s="1"/>
    </row>
    <row r="15" spans="1:20" x14ac:dyDescent="0.25">
      <c r="A15" t="s">
        <v>16</v>
      </c>
      <c r="B15" s="19">
        <v>10</v>
      </c>
      <c r="C15" s="17">
        <f>C14*(1+D2)</f>
        <v>10865.288007072382</v>
      </c>
      <c r="D15" s="17">
        <f>C14*D2</f>
        <v>89.795768653490768</v>
      </c>
      <c r="E15" s="18">
        <f>C15-B2</f>
        <v>865.28800707238224</v>
      </c>
      <c r="F15" s="19">
        <v>22</v>
      </c>
      <c r="G15" s="17">
        <f>G14*(1+D2)</f>
        <v>12003.025642926063</v>
      </c>
      <c r="H15" s="17">
        <f>G14*D2</f>
        <v>99.198559032446809</v>
      </c>
      <c r="I15" s="18">
        <f>G15-B2</f>
        <v>2003.0256429260626</v>
      </c>
      <c r="J15" s="3">
        <v>34</v>
      </c>
      <c r="K15" s="1">
        <f>K14*(1+D2)</f>
        <v>13259.899276573391</v>
      </c>
      <c r="L15" s="1">
        <f>K14*D2</f>
        <v>109.58594443449084</v>
      </c>
      <c r="M15" s="5">
        <f>K15-B2</f>
        <v>3259.899276573391</v>
      </c>
      <c r="N15" s="1"/>
      <c r="O15" s="1"/>
      <c r="P15" s="1"/>
      <c r="Q15" s="1"/>
    </row>
    <row r="16" spans="1:20" x14ac:dyDescent="0.25">
      <c r="A16" t="s">
        <v>17</v>
      </c>
      <c r="B16" s="19">
        <v>11</v>
      </c>
      <c r="C16" s="17">
        <f>C15*(1+D2)</f>
        <v>10955.832073797985</v>
      </c>
      <c r="D16" s="17">
        <f>C15*D2</f>
        <v>90.544066725603187</v>
      </c>
      <c r="E16" s="18">
        <f>C16-B2</f>
        <v>955.83207379798478</v>
      </c>
      <c r="F16" s="19">
        <v>23</v>
      </c>
      <c r="G16" s="17">
        <f>G15*(1+D2)</f>
        <v>12103.050856617112</v>
      </c>
      <c r="H16" s="17">
        <f>G15*D2</f>
        <v>100.02521369105052</v>
      </c>
      <c r="I16" s="18">
        <f>G16-B2</f>
        <v>2103.050856617112</v>
      </c>
      <c r="J16" s="3">
        <v>35</v>
      </c>
      <c r="K16" s="1">
        <f>K15*(1+D2)</f>
        <v>13370.398437211503</v>
      </c>
      <c r="L16" s="1">
        <f>K15*D2</f>
        <v>110.49916063811159</v>
      </c>
      <c r="M16" s="5">
        <f>K16-B2</f>
        <v>3370.3984372115028</v>
      </c>
      <c r="N16" s="1"/>
      <c r="O16" s="1"/>
      <c r="P16" s="1"/>
      <c r="Q16" s="1"/>
    </row>
    <row r="17" spans="1:20" x14ac:dyDescent="0.25">
      <c r="A17" t="s">
        <v>18</v>
      </c>
      <c r="B17" s="19">
        <v>12</v>
      </c>
      <c r="C17" s="17">
        <f>C16*(1+D2)</f>
        <v>11047.130674412967</v>
      </c>
      <c r="D17" s="17">
        <f>C16*D2</f>
        <v>91.298600614983201</v>
      </c>
      <c r="E17" s="18">
        <f>C17-B2</f>
        <v>1047.130674412967</v>
      </c>
      <c r="F17" s="19">
        <v>24</v>
      </c>
      <c r="G17" s="17">
        <f>G16*(1+D2)</f>
        <v>12203.909613755588</v>
      </c>
      <c r="H17" s="17">
        <f>G16*D2</f>
        <v>100.85875713847594</v>
      </c>
      <c r="I17" s="18">
        <f>G17-B2</f>
        <v>2203.909613755588</v>
      </c>
      <c r="J17" s="3">
        <v>36</v>
      </c>
      <c r="K17" s="1">
        <f>K16*(1+D2)</f>
        <v>13481.818424188265</v>
      </c>
      <c r="L17" s="1">
        <f>K16*D2</f>
        <v>111.41998697676252</v>
      </c>
      <c r="M17" s="5">
        <f>K17-B2</f>
        <v>3481.8184241882645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1" t="s">
        <v>0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1">
        <f>K34*(1+D20)</f>
        <v>44688.369891420247</v>
      </c>
      <c r="P23" s="1">
        <f>K34*D20</f>
        <v>133.66411732229386</v>
      </c>
      <c r="Q23" s="1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1"/>
      <c r="O24" s="1"/>
      <c r="P24" s="1"/>
      <c r="Q24" s="1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1"/>
      <c r="O25" s="1"/>
      <c r="P25" s="1"/>
      <c r="Q25" s="1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1"/>
      <c r="O26" s="1"/>
      <c r="P26" s="1"/>
      <c r="Q26" s="1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2026-03-23T10:58:50Z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