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DA578899-2D6F-40B4-835B-650E7425C7AB}" xr6:coauthVersionLast="47" xr6:coauthVersionMax="47" xr10:uidLastSave="{00000000-0000-0000-0000-000000000000}"/>
  <bookViews>
    <workbookView xWindow="3495" yWindow="495" windowWidth="32970" windowHeight="18735" xr2:uid="{AE14A5DA-5418-4CB2-B16F-47804216F2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20" i="1"/>
  <c r="A20" i="1" l="1"/>
  <c r="D20" i="1" s="1"/>
  <c r="D23" i="1" s="1"/>
  <c r="D2" i="1"/>
  <c r="C6" i="1" l="1"/>
  <c r="E6" i="1" s="1"/>
  <c r="D6" i="1"/>
  <c r="C23" i="1"/>
  <c r="E23" i="1" l="1"/>
  <c r="D24" i="1"/>
  <c r="C7" i="1"/>
  <c r="D7" i="1"/>
  <c r="C24" i="1"/>
  <c r="E24" i="1" l="1"/>
  <c r="D25" i="1"/>
  <c r="C8" i="1"/>
  <c r="D8" i="1"/>
  <c r="E7" i="1"/>
  <c r="C25" i="1"/>
  <c r="E25" i="1" l="1"/>
  <c r="D26" i="1"/>
  <c r="C9" i="1"/>
  <c r="D9" i="1"/>
  <c r="E8" i="1"/>
  <c r="C26" i="1"/>
  <c r="E26" i="1" l="1"/>
  <c r="D27" i="1"/>
  <c r="C10" i="1"/>
  <c r="D10" i="1"/>
  <c r="E9" i="1"/>
  <c r="C27" i="1"/>
  <c r="E27" i="1" l="1"/>
  <c r="D28" i="1"/>
  <c r="C11" i="1"/>
  <c r="D11" i="1"/>
  <c r="E10" i="1"/>
  <c r="C28" i="1"/>
  <c r="E28" i="1" l="1"/>
  <c r="D29" i="1"/>
  <c r="C12" i="1"/>
  <c r="D12" i="1"/>
  <c r="E11" i="1"/>
  <c r="C29" i="1"/>
  <c r="E29" i="1" l="1"/>
  <c r="D30" i="1"/>
  <c r="C13" i="1"/>
  <c r="D13" i="1"/>
  <c r="E12" i="1"/>
  <c r="C30" i="1"/>
  <c r="E30" i="1" l="1"/>
  <c r="D31" i="1"/>
  <c r="C14" i="1"/>
  <c r="D14" i="1"/>
  <c r="E13" i="1"/>
  <c r="C31" i="1"/>
  <c r="E31" i="1" l="1"/>
  <c r="D32" i="1"/>
  <c r="C15" i="1"/>
  <c r="D15" i="1"/>
  <c r="E14" i="1"/>
  <c r="C32" i="1"/>
  <c r="E32" i="1" l="1"/>
  <c r="D33" i="1"/>
  <c r="C16" i="1"/>
  <c r="D16" i="1"/>
  <c r="E15" i="1"/>
  <c r="C33" i="1"/>
  <c r="E33" i="1" l="1"/>
  <c r="D34" i="1"/>
  <c r="C17" i="1"/>
  <c r="D17" i="1"/>
  <c r="E16" i="1"/>
  <c r="C34" i="1"/>
  <c r="E34" i="1" l="1"/>
  <c r="H23" i="1"/>
  <c r="G6" i="1"/>
  <c r="H6" i="1"/>
  <c r="E17" i="1"/>
  <c r="G23" i="1"/>
  <c r="I23" i="1" l="1"/>
  <c r="H24" i="1"/>
  <c r="G7" i="1"/>
  <c r="H7" i="1"/>
  <c r="I6" i="1"/>
  <c r="G24" i="1"/>
  <c r="I24" i="1" l="1"/>
  <c r="H25" i="1"/>
  <c r="G8" i="1"/>
  <c r="H8" i="1"/>
  <c r="I7" i="1"/>
  <c r="G25" i="1"/>
  <c r="I25" i="1" l="1"/>
  <c r="H26" i="1"/>
  <c r="G9" i="1"/>
  <c r="H9" i="1"/>
  <c r="I8" i="1"/>
  <c r="G26" i="1"/>
  <c r="I26" i="1" l="1"/>
  <c r="H27" i="1"/>
  <c r="G10" i="1"/>
  <c r="H10" i="1"/>
  <c r="I9" i="1"/>
  <c r="G27" i="1"/>
  <c r="I27" i="1" l="1"/>
  <c r="H28" i="1"/>
  <c r="G11" i="1"/>
  <c r="H11" i="1"/>
  <c r="I10" i="1"/>
  <c r="G28" i="1"/>
  <c r="I28" i="1" l="1"/>
  <c r="H29" i="1"/>
  <c r="G12" i="1"/>
  <c r="H12" i="1"/>
  <c r="I11" i="1"/>
  <c r="G29" i="1"/>
  <c r="I29" i="1" l="1"/>
  <c r="H30" i="1"/>
  <c r="G13" i="1"/>
  <c r="H13" i="1"/>
  <c r="I12" i="1"/>
  <c r="G30" i="1"/>
  <c r="I30" i="1" l="1"/>
  <c r="H31" i="1"/>
  <c r="G14" i="1"/>
  <c r="H14" i="1"/>
  <c r="I13" i="1"/>
  <c r="G31" i="1"/>
  <c r="I31" i="1" l="1"/>
  <c r="H32" i="1"/>
  <c r="I14" i="1"/>
  <c r="G15" i="1"/>
  <c r="H15" i="1"/>
  <c r="G32" i="1"/>
  <c r="I32" i="1" l="1"/>
  <c r="H33" i="1"/>
  <c r="G16" i="1"/>
  <c r="I15" i="1"/>
  <c r="H16" i="1"/>
  <c r="G33" i="1"/>
  <c r="I33" i="1" l="1"/>
  <c r="H34" i="1"/>
  <c r="G17" i="1"/>
  <c r="H17" i="1"/>
  <c r="I16" i="1"/>
  <c r="G34" i="1"/>
  <c r="I34" i="1" l="1"/>
  <c r="L23" i="1"/>
  <c r="L6" i="1"/>
  <c r="K6" i="1"/>
  <c r="I17" i="1"/>
  <c r="K23" i="1"/>
  <c r="M23" i="1" l="1"/>
  <c r="L24" i="1"/>
  <c r="K7" i="1"/>
  <c r="M6" i="1"/>
  <c r="L7" i="1"/>
  <c r="K24" i="1"/>
  <c r="M24" i="1" l="1"/>
  <c r="L25" i="1"/>
  <c r="K8" i="1"/>
  <c r="L8" i="1"/>
  <c r="M7" i="1"/>
  <c r="K25" i="1"/>
  <c r="M25" i="1" l="1"/>
  <c r="L26" i="1"/>
  <c r="M8" i="1"/>
  <c r="L9" i="1"/>
  <c r="K9" i="1"/>
  <c r="K26" i="1"/>
  <c r="M26" i="1" l="1"/>
  <c r="L27" i="1"/>
  <c r="K10" i="1"/>
  <c r="L10" i="1"/>
  <c r="M9" i="1"/>
  <c r="K27" i="1"/>
  <c r="M27" i="1" l="1"/>
  <c r="L28" i="1"/>
  <c r="K11" i="1"/>
  <c r="L11" i="1"/>
  <c r="M10" i="1"/>
  <c r="K28" i="1"/>
  <c r="M28" i="1" l="1"/>
  <c r="L29" i="1"/>
  <c r="K12" i="1"/>
  <c r="M11" i="1"/>
  <c r="L12" i="1"/>
  <c r="K29" i="1"/>
  <c r="M29" i="1" l="1"/>
  <c r="L30" i="1"/>
  <c r="K13" i="1"/>
  <c r="L13" i="1"/>
  <c r="M12" i="1"/>
  <c r="K30" i="1"/>
  <c r="M30" i="1" l="1"/>
  <c r="L31" i="1"/>
  <c r="K14" i="1"/>
  <c r="L14" i="1"/>
  <c r="M13" i="1"/>
  <c r="K31" i="1"/>
  <c r="M31" i="1" l="1"/>
  <c r="L32" i="1"/>
  <c r="M14" i="1"/>
  <c r="L15" i="1"/>
  <c r="K15" i="1"/>
  <c r="K32" i="1"/>
  <c r="M32" i="1" l="1"/>
  <c r="L33" i="1"/>
  <c r="K16" i="1"/>
  <c r="L16" i="1"/>
  <c r="M15" i="1"/>
  <c r="K33" i="1"/>
  <c r="M33" i="1" l="1"/>
  <c r="L34" i="1"/>
  <c r="K17" i="1"/>
  <c r="L17" i="1"/>
  <c r="M16" i="1"/>
  <c r="K34" i="1"/>
  <c r="P23" i="1" l="1"/>
  <c r="O23" i="1"/>
  <c r="O6" i="1"/>
  <c r="P6" i="1"/>
  <c r="M17" i="1"/>
  <c r="M34" i="1"/>
  <c r="T23" i="1" l="1"/>
  <c r="Q23" i="1"/>
  <c r="Q6" i="1"/>
  <c r="T6" i="1"/>
  <c r="T7" i="1" s="1"/>
  <c r="T8" i="1" s="1"/>
  <c r="T9" i="1" s="1"/>
  <c r="T26" i="1"/>
  <c r="T24" i="1"/>
  <c r="T25" i="1" s="1"/>
</calcChain>
</file>

<file path=xl/sharedStrings.xml><?xml version="1.0" encoding="utf-8"?>
<sst xmlns="http://schemas.openxmlformats.org/spreadsheetml/2006/main" count="46" uniqueCount="20">
  <si>
    <t>Assuming static interest rate for entire loan term</t>
  </si>
  <si>
    <t>Interest</t>
  </si>
  <si>
    <t>Principal</t>
  </si>
  <si>
    <t>Interest ($)</t>
  </si>
  <si>
    <t>Increase ($)</t>
  </si>
  <si>
    <t>Repay (Total)</t>
  </si>
  <si>
    <t>Repay (Self)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</si>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</sst>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#,##0.0000_);[Red]\(#,##0.0000\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8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8" fontId="0" fillId="0" borderId="1" xfId="0" applyNumberFormat="1" applyBorder="1"/>
    <xf numFmtId="0" fontId="0" fillId="0" borderId="5" xfId="0" applyBorder="1"/>
    <xf numFmtId="8" fontId="0" fillId="0" borderId="4" xfId="0" applyNumberFormat="1" applyBorder="1"/>
    <xf numFmtId="0" fontId="0" fillId="0" borderId="6" xfId="0" applyBorder="1"/>
    <xf numFmtId="8" fontId="0" fillId="0" borderId="3" xfId="0" applyNumberFormat="1" applyBorder="1"/>
    <xf numFmtId="10" fontId="0" fillId="0" borderId="0" xfId="1" applyNumberFormat="1" applyFont="1"/>
    <xf numFmtId="164" fontId="0" fillId="0" borderId="0" xfId="0" applyNumberFormat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0" fillId="0" borderId="7" xfId="0" applyBorder="1" applyAlignment="1">
      <alignment wrapText="1"/>
    </xf>
    <xf numFmtId="0" fontId="4" fillId="0" borderId="4" xfId="0" applyFont="1" applyBorder="1" applyAlignment="1">
      <alignment horizontal="center"/>
    </xf>
    <xf numFmtId="8" fontId="4" fillId="0" borderId="0" xfId="0" applyNumberFormat="1" applyFont="1"/>
    <xf numFmtId="8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40" fontId="0" fillId="0" borderId="0" xfId="0" applyNumberFormat="1"/>
    <xf numFmtId="22" fontId="0" fillId="0" borderId="0" xfId="0" applyNumberFormat="1"/>
    <xf numFmtId="0" fontId="3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46D5A-2E5B-4B8F-925A-51AAA62DB907}">
  <dimension ref="A2:U34"/>
  <sheetViews>
    <sheetView tabSelected="1" workbookViewId="0">
      <selection activeCell="J9" sqref="J9"/>
    </sheetView>
  </sheetViews>
  <sheetFormatPr defaultColWidth="9.28515625" defaultRowHeight="15" x14ac:dyDescent="0.25"/>
  <cols>
    <col min="2" max="2" width="11" bestFit="1" customWidth="1"/>
    <col min="3" max="3" width="11.42578125" bestFit="1" customWidth="1"/>
    <col min="4" max="4" width="9.7109375" bestFit="1" customWidth="1"/>
    <col min="5" max="5" width="10.42578125" bestFit="1" customWidth="1"/>
    <col min="6" max="6" width="9.42578125" bestFit="1" customWidth="1"/>
    <col min="7" max="7" width="11.42578125" bestFit="1" customWidth="1"/>
    <col min="8" max="8" width="9.7109375" bestFit="1" customWidth="1"/>
    <col min="9" max="9" width="10.42578125" bestFit="1" customWidth="1"/>
    <col min="11" max="11" width="10.85546875" bestFit="1" customWidth="1"/>
    <col min="12" max="12" width="9.5703125" bestFit="1" customWidth="1"/>
    <col min="13" max="13" width="10.28515625" bestFit="1" customWidth="1"/>
    <col min="14" max="14" width="10.28515625" customWidth="1"/>
    <col min="15" max="15" width="10.85546875" bestFit="1" customWidth="1"/>
    <col min="16" max="16" width="9.5703125" bestFit="1" customWidth="1"/>
    <col min="17" max="17" width="10.28515625" customWidth="1"/>
    <col min="18" max="18" width="10.85546875" bestFit="1" customWidth="1"/>
    <col min="19" max="19" width="12.7109375" bestFit="1" customWidth="1"/>
    <col min="20" max="20" width="10.85546875" bestFit="1" customWidth="1"/>
    <col min="21" max="21" width="15.85546875" bestFit="1" customWidth="1"/>
  </cols>
  <sheetData>
    <row r="2" spans="1:21" x14ac:dyDescent="0.25">
      <c r="A2" s="10">
        <v>3.5999999999999997E-2</v>
      </c>
      <c r="B2" s="1">
        <v>10000</v>
      </c>
      <c r="C2" s="10">
        <f>A3</f>
        <v>0.1</v>
      </c>
      <c r="D2" s="11">
        <f>C2/12</f>
        <v>8.3333333333333332E-3</v>
      </c>
    </row>
    <row r="3" spans="1:21" x14ac:dyDescent="0.25">
      <c r="A3" s="10">
        <v>0.1</v>
      </c>
      <c r="E3" s="11"/>
    </row>
    <row r="4" spans="1:21" ht="17.25" x14ac:dyDescent="0.3">
      <c r="A4" s="10"/>
      <c r="C4" s="23" t="s">
        <v>0</v>
      </c>
      <c r="D4" s="23"/>
      <c r="E4" s="23"/>
      <c r="F4" s="23"/>
      <c r="G4" s="23"/>
      <c r="H4" s="23"/>
      <c r="I4" s="23"/>
      <c r="J4" s="23"/>
      <c r="K4" s="23"/>
      <c r="L4" s="23"/>
      <c r="M4" s="23"/>
      <c r="N4" s="20"/>
      <c r="O4" s="20"/>
      <c r="P4" s="20"/>
      <c r="Q4" s="20"/>
    </row>
    <row r="5" spans="1:21" x14ac:dyDescent="0.25">
      <c r="B5" s="2"/>
      <c r="C5" s="12" t="s">
        <v>2</v>
      </c>
      <c r="D5" s="12" t="s">
        <v>3</v>
      </c>
      <c r="E5" s="13" t="s">
        <v>4</v>
      </c>
      <c r="F5" s="2"/>
      <c r="G5" s="12" t="s">
        <v>2</v>
      </c>
      <c r="H5" s="12" t="s">
        <v>3</v>
      </c>
      <c r="I5" s="13" t="s">
        <v>4</v>
      </c>
      <c r="J5" s="2"/>
      <c r="K5" s="12" t="s">
        <v>2</v>
      </c>
      <c r="L5" s="12" t="s">
        <v>3</v>
      </c>
      <c r="M5" s="13" t="s">
        <v>4</v>
      </c>
      <c r="N5" s="2"/>
      <c r="O5" s="12" t="s">
        <v>2</v>
      </c>
      <c r="P5" s="12" t="s">
        <v>3</v>
      </c>
      <c r="Q5" s="13" t="s">
        <v>4</v>
      </c>
    </row>
    <row r="6" spans="1:21" x14ac:dyDescent="0.25">
      <c r="A6" t="s">
        <v>7</v>
      </c>
      <c r="B6" s="19">
        <v>1</v>
      </c>
      <c r="C6" s="17">
        <f>B2*(1+D2)</f>
        <v>10083.333333333334</v>
      </c>
      <c r="D6" s="17">
        <f>B2*D2</f>
        <v>83.333333333333329</v>
      </c>
      <c r="E6" s="18">
        <f>C6-B2</f>
        <v>83.33333333333394</v>
      </c>
      <c r="F6" s="16">
        <v>13</v>
      </c>
      <c r="G6" s="17">
        <f>C17*(1+D2)</f>
        <v>11139.190096699742</v>
      </c>
      <c r="H6" s="17">
        <f>C17*D2</f>
        <v>92.059422286774719</v>
      </c>
      <c r="I6" s="18">
        <f>G6-B2</f>
        <v>1139.1900966997418</v>
      </c>
      <c r="J6" s="16">
        <v>25</v>
      </c>
      <c r="K6" s="17">
        <f>G17*(1+D2)</f>
        <v>12305.608860536884</v>
      </c>
      <c r="L6" s="17">
        <f>G17*D2</f>
        <v>101.69924678129657</v>
      </c>
      <c r="M6" s="18">
        <f>K6-B2</f>
        <v>2305.6088605368841</v>
      </c>
      <c r="N6" s="3">
        <v>37</v>
      </c>
      <c r="O6" s="1">
        <f>K17*(1+D2)</f>
        <v>13594.1669110565</v>
      </c>
      <c r="P6" s="1">
        <f>K17*D2</f>
        <v>112.34848686823554</v>
      </c>
      <c r="Q6" s="5">
        <f>O6-B2</f>
        <v>3594.1669110564999</v>
      </c>
      <c r="S6" s="6" t="s">
        <v>1</v>
      </c>
      <c r="T6" s="7">
        <f>O6-B2</f>
        <v>3594.1669110564999</v>
      </c>
    </row>
    <row r="7" spans="1:21" x14ac:dyDescent="0.25">
      <c r="A7" t="s">
        <v>8</v>
      </c>
      <c r="B7" s="19">
        <v>2</v>
      </c>
      <c r="C7" s="17">
        <f>C6*(1+D2)</f>
        <v>10167.361111111111</v>
      </c>
      <c r="D7" s="17">
        <f>C6*D2</f>
        <v>84.027777777777786</v>
      </c>
      <c r="E7" s="18">
        <f>C7-B2</f>
        <v>167.36111111111131</v>
      </c>
      <c r="F7" s="19">
        <v>14</v>
      </c>
      <c r="G7" s="17">
        <f>G6*(1+D2)</f>
        <v>11232.016680838906</v>
      </c>
      <c r="H7" s="17">
        <f>G6*D2</f>
        <v>92.82658413916451</v>
      </c>
      <c r="I7" s="18">
        <f>G7-B2</f>
        <v>1232.0166808389058</v>
      </c>
      <c r="J7" s="19">
        <v>26</v>
      </c>
      <c r="K7" s="17">
        <f>K6*(1+D2)</f>
        <v>12408.155601041357</v>
      </c>
      <c r="L7" s="17">
        <f>K6*D2</f>
        <v>102.54674050447403</v>
      </c>
      <c r="M7" s="18">
        <f>K7-B2</f>
        <v>2408.1556010413569</v>
      </c>
      <c r="N7" s="1"/>
      <c r="O7" s="1"/>
      <c r="P7" s="1"/>
      <c r="Q7" s="1"/>
      <c r="S7" s="15" t="s">
        <v>5</v>
      </c>
      <c r="T7" s="5">
        <f>B2+T6</f>
        <v>13594.1669110565</v>
      </c>
    </row>
    <row r="8" spans="1:21" x14ac:dyDescent="0.25">
      <c r="A8" t="s">
        <v>9</v>
      </c>
      <c r="B8" s="19">
        <v>3</v>
      </c>
      <c r="C8" s="17">
        <f>C7*(1+D2)</f>
        <v>10252.08912037037</v>
      </c>
      <c r="D8" s="17">
        <f>C7*D2</f>
        <v>84.728009259259267</v>
      </c>
      <c r="E8" s="18">
        <f>C8-B2</f>
        <v>252.08912037037044</v>
      </c>
      <c r="F8" s="19">
        <v>15</v>
      </c>
      <c r="G8" s="17">
        <f>G7*(1+D2)</f>
        <v>11325.616819845896</v>
      </c>
      <c r="H8" s="17">
        <f>G7*D2</f>
        <v>93.600139006990887</v>
      </c>
      <c r="I8" s="18">
        <f>G8-B2</f>
        <v>1325.6168198458963</v>
      </c>
      <c r="J8" s="19">
        <v>27</v>
      </c>
      <c r="K8" s="17">
        <f>K7*(1+D2)</f>
        <v>12511.5568977167</v>
      </c>
      <c r="L8" s="17">
        <f>K7*D2</f>
        <v>103.40129667534464</v>
      </c>
      <c r="M8" s="18">
        <f>K8-B2</f>
        <v>2511.5568977167004</v>
      </c>
      <c r="N8" s="1"/>
      <c r="O8" s="1"/>
      <c r="P8" s="1"/>
      <c r="Q8" s="1"/>
      <c r="S8" s="15" t="s">
        <v>6</v>
      </c>
      <c r="T8" s="5">
        <f>T7-B2</f>
        <v>3594.1669110564999</v>
      </c>
    </row>
    <row r="9" spans="1:21" x14ac:dyDescent="0.25">
      <c r="A9" t="s">
        <v>10</v>
      </c>
      <c r="B9" s="19">
        <v>4</v>
      </c>
      <c r="C9" s="17">
        <f>C8*(1+D2)</f>
        <v>10337.523196373457</v>
      </c>
      <c r="D9" s="17">
        <f>C8*D2</f>
        <v>85.434076003086417</v>
      </c>
      <c r="E9" s="18">
        <f>C9-B2</f>
        <v>337.52319637345681</v>
      </c>
      <c r="F9" s="19">
        <v>16</v>
      </c>
      <c r="G9" s="17">
        <f>G8*(1+D2)</f>
        <v>11419.996960011278</v>
      </c>
      <c r="H9" s="17">
        <f>G8*D2</f>
        <v>94.380140165382471</v>
      </c>
      <c r="I9" s="18">
        <f>G9-B2</f>
        <v>1419.9969600112781</v>
      </c>
      <c r="J9" s="3">
        <v>28</v>
      </c>
      <c r="K9" s="1">
        <f>K8*(1+D2)</f>
        <v>12615.81987186434</v>
      </c>
      <c r="L9" s="1">
        <f>K8*D2</f>
        <v>104.26297414763917</v>
      </c>
      <c r="M9" s="5">
        <f>K9-B2</f>
        <v>2615.8198718643398</v>
      </c>
      <c r="N9" s="1"/>
      <c r="O9" s="1"/>
      <c r="P9" s="1"/>
      <c r="Q9" s="1"/>
      <c r="S9" s="8" t="s">
        <v>19</v>
      </c>
      <c r="T9" s="9">
        <f>B2-T8</f>
        <v>6405.8330889435001</v>
      </c>
    </row>
    <row r="10" spans="1:21" x14ac:dyDescent="0.25">
      <c r="A10" t="s">
        <v>11</v>
      </c>
      <c r="B10" s="19">
        <v>5</v>
      </c>
      <c r="C10" s="17">
        <f>C9*(1+D2)</f>
        <v>10423.669223009902</v>
      </c>
      <c r="D10" s="17">
        <f>C9*D2</f>
        <v>86.14602663644547</v>
      </c>
      <c r="E10" s="18">
        <f>C10-B2</f>
        <v>423.66922300990154</v>
      </c>
      <c r="F10" s="19">
        <v>17</v>
      </c>
      <c r="G10" s="17">
        <f>G9*(1+D2)</f>
        <v>11515.163601344706</v>
      </c>
      <c r="H10" s="17">
        <f>G9*D2</f>
        <v>95.166641333427322</v>
      </c>
      <c r="I10" s="18">
        <f>G10-B2</f>
        <v>1515.163601344706</v>
      </c>
      <c r="J10" s="3">
        <v>19</v>
      </c>
      <c r="K10" s="1">
        <f>K9*(1+D2)</f>
        <v>12720.951704129875</v>
      </c>
      <c r="L10" s="1">
        <f>K9*D2</f>
        <v>105.13183226553616</v>
      </c>
      <c r="M10" s="5">
        <f>K10-B2</f>
        <v>2720.951704129875</v>
      </c>
      <c r="N10" s="1"/>
      <c r="P10" s="1"/>
      <c r="Q10" s="1"/>
    </row>
    <row r="11" spans="1:21" x14ac:dyDescent="0.25">
      <c r="A11" t="s">
        <v>12</v>
      </c>
      <c r="B11" s="19">
        <v>6</v>
      </c>
      <c r="C11" s="17">
        <f>C10*(1+D2)</f>
        <v>10510.53313320165</v>
      </c>
      <c r="D11" s="17">
        <f>C10*D2</f>
        <v>86.863910191749184</v>
      </c>
      <c r="E11" s="18">
        <f>C11-B2</f>
        <v>510.53313320165034</v>
      </c>
      <c r="F11" s="19">
        <v>18</v>
      </c>
      <c r="G11" s="17">
        <f>G10*(1+D2)</f>
        <v>11611.123298022578</v>
      </c>
      <c r="H11" s="17">
        <f>G10*D2</f>
        <v>95.959696677872543</v>
      </c>
      <c r="I11" s="18">
        <f>G11-B2</f>
        <v>1611.1232980225777</v>
      </c>
      <c r="J11" s="3">
        <v>30</v>
      </c>
      <c r="K11" s="1">
        <f>K10*(1+D2)</f>
        <v>12826.959634997624</v>
      </c>
      <c r="L11" s="1">
        <f>K10*D2</f>
        <v>106.00793086774895</v>
      </c>
      <c r="M11" s="5">
        <f>K11-B2</f>
        <v>2826.9596349976237</v>
      </c>
      <c r="N11" s="1"/>
      <c r="O11" s="1"/>
      <c r="P11" s="1"/>
      <c r="Q11" s="1"/>
    </row>
    <row r="12" spans="1:21" x14ac:dyDescent="0.25">
      <c r="A12" t="s">
        <v>13</v>
      </c>
      <c r="B12" s="19">
        <v>7</v>
      </c>
      <c r="C12" s="17">
        <f>C11*(1+D2)</f>
        <v>10598.120909311663</v>
      </c>
      <c r="D12" s="17">
        <f>C11*D2</f>
        <v>87.587776110013749</v>
      </c>
      <c r="E12" s="18">
        <f>C12-B2</f>
        <v>598.12090931166313</v>
      </c>
      <c r="F12" s="19">
        <v>19</v>
      </c>
      <c r="G12" s="17">
        <f>G11*(1+D2)</f>
        <v>11707.882658839431</v>
      </c>
      <c r="H12" s="17">
        <f>G11*D2</f>
        <v>96.759360816854809</v>
      </c>
      <c r="I12" s="18">
        <f>G12-B2</f>
        <v>1707.8826588394313</v>
      </c>
      <c r="J12" s="3">
        <v>31</v>
      </c>
      <c r="K12" s="1">
        <f>K11*(1+D2)</f>
        <v>12933.85096528927</v>
      </c>
      <c r="L12" s="1">
        <f>K11*D2</f>
        <v>106.89133029164687</v>
      </c>
      <c r="M12" s="5">
        <f>K12-B2</f>
        <v>2933.8509652892699</v>
      </c>
      <c r="N12" s="1"/>
      <c r="O12" s="1"/>
      <c r="P12" s="1"/>
      <c r="Q12" s="1"/>
    </row>
    <row r="13" spans="1:21" x14ac:dyDescent="0.25">
      <c r="A13" t="s">
        <v>14</v>
      </c>
      <c r="B13" s="19">
        <v>8</v>
      </c>
      <c r="C13" s="17">
        <f>C12*(1+D2)</f>
        <v>10686.438583555926</v>
      </c>
      <c r="D13" s="17">
        <f>C12*D2</f>
        <v>88.317674244263856</v>
      </c>
      <c r="E13" s="18">
        <f>C13-B2</f>
        <v>686.43858355592602</v>
      </c>
      <c r="F13" s="19">
        <v>20</v>
      </c>
      <c r="G13" s="17">
        <f>G12*(1+D2)</f>
        <v>11805.448347663092</v>
      </c>
      <c r="H13" s="17">
        <f>G12*D2</f>
        <v>97.56568882366193</v>
      </c>
      <c r="I13" s="18">
        <f>G13-B2</f>
        <v>1805.4483476630921</v>
      </c>
      <c r="J13" s="3">
        <v>32</v>
      </c>
      <c r="K13" s="1">
        <f>K12*(1+D2)</f>
        <v>13041.63305666668</v>
      </c>
      <c r="L13" s="1">
        <f>K12*D2</f>
        <v>107.78209137741058</v>
      </c>
      <c r="M13" s="5">
        <f>K13-B2</f>
        <v>3041.6330566666802</v>
      </c>
      <c r="N13" s="1"/>
      <c r="O13" s="1"/>
      <c r="P13" s="1"/>
      <c r="Q13" s="1"/>
      <c r="U13" s="21"/>
    </row>
    <row r="14" spans="1:21" x14ac:dyDescent="0.25">
      <c r="A14" t="s">
        <v>15</v>
      </c>
      <c r="B14" s="19">
        <v>9</v>
      </c>
      <c r="C14" s="17">
        <f>C13*(1+D2)</f>
        <v>10775.492238418892</v>
      </c>
      <c r="D14" s="17">
        <f>C13*D2</f>
        <v>89.053654862966056</v>
      </c>
      <c r="E14" s="18">
        <f>C14-B2</f>
        <v>775.49223841889216</v>
      </c>
      <c r="F14" s="19">
        <v>21</v>
      </c>
      <c r="G14" s="17">
        <f>G13*(1+D2)</f>
        <v>11903.827083893617</v>
      </c>
      <c r="H14" s="17">
        <f>G13*D2</f>
        <v>98.37873623052576</v>
      </c>
      <c r="I14" s="18">
        <f>G14-B2</f>
        <v>1903.8270838936169</v>
      </c>
      <c r="J14" s="3">
        <v>33</v>
      </c>
      <c r="K14" s="1">
        <f>K13*(1+D2)</f>
        <v>13150.313332138901</v>
      </c>
      <c r="L14" s="1">
        <f>K13*D2</f>
        <v>108.68027547222233</v>
      </c>
      <c r="M14" s="5">
        <f>K14-B2</f>
        <v>3150.3133321389014</v>
      </c>
      <c r="N14" s="1"/>
      <c r="O14" s="1"/>
      <c r="P14" s="1"/>
      <c r="Q14" s="1"/>
      <c r="U14" s="22"/>
    </row>
    <row r="15" spans="1:21" x14ac:dyDescent="0.25">
      <c r="A15" t="s">
        <v>16</v>
      </c>
      <c r="B15" s="19">
        <v>10</v>
      </c>
      <c r="C15" s="17">
        <f>C14*(1+D2)</f>
        <v>10865.288007072382</v>
      </c>
      <c r="D15" s="17">
        <f>C14*D2</f>
        <v>89.795768653490768</v>
      </c>
      <c r="E15" s="18">
        <f>C15-B2</f>
        <v>865.28800707238224</v>
      </c>
      <c r="F15" s="19">
        <v>22</v>
      </c>
      <c r="G15" s="17">
        <f>G14*(1+D2)</f>
        <v>12003.025642926063</v>
      </c>
      <c r="H15" s="17">
        <f>G14*D2</f>
        <v>99.198559032446809</v>
      </c>
      <c r="I15" s="18">
        <f>G15-B2</f>
        <v>2003.0256429260626</v>
      </c>
      <c r="J15" s="3">
        <v>34</v>
      </c>
      <c r="K15" s="1">
        <f>K14*(1+D2)</f>
        <v>13259.899276573391</v>
      </c>
      <c r="L15" s="1">
        <f>K14*D2</f>
        <v>109.58594443449084</v>
      </c>
      <c r="M15" s="5">
        <f>K15-B2</f>
        <v>3259.899276573391</v>
      </c>
      <c r="N15" s="1"/>
      <c r="O15" s="1"/>
      <c r="P15" s="1"/>
      <c r="Q15" s="1"/>
    </row>
    <row r="16" spans="1:21" x14ac:dyDescent="0.25">
      <c r="A16" t="s">
        <v>17</v>
      </c>
      <c r="B16" s="19">
        <v>11</v>
      </c>
      <c r="C16" s="17">
        <f>C15*(1+D2)</f>
        <v>10955.832073797985</v>
      </c>
      <c r="D16" s="17">
        <f>C15*D2</f>
        <v>90.544066725603187</v>
      </c>
      <c r="E16" s="18">
        <f>C16-B2</f>
        <v>955.83207379798478</v>
      </c>
      <c r="F16" s="19">
        <v>23</v>
      </c>
      <c r="G16" s="17">
        <f>G15*(1+D2)</f>
        <v>12103.050856617112</v>
      </c>
      <c r="H16" s="17">
        <f>G15*D2</f>
        <v>100.02521369105052</v>
      </c>
      <c r="I16" s="18">
        <f>G16-B2</f>
        <v>2103.050856617112</v>
      </c>
      <c r="J16" s="3">
        <v>35</v>
      </c>
      <c r="K16" s="1">
        <f>K15*(1+D2)</f>
        <v>13370.398437211503</v>
      </c>
      <c r="L16" s="1">
        <f>K15*D2</f>
        <v>110.49916063811159</v>
      </c>
      <c r="M16" s="5">
        <f>K16-B2</f>
        <v>3370.3984372115028</v>
      </c>
      <c r="N16" s="1"/>
      <c r="O16" s="1"/>
      <c r="P16" s="1"/>
      <c r="Q16" s="1"/>
    </row>
    <row r="17" spans="1:20" x14ac:dyDescent="0.25">
      <c r="A17" t="s">
        <v>18</v>
      </c>
      <c r="B17" s="19">
        <v>12</v>
      </c>
      <c r="C17" s="17">
        <f>C16*(1+D2)</f>
        <v>11047.130674412967</v>
      </c>
      <c r="D17" s="17">
        <f>C16*D2</f>
        <v>91.298600614983201</v>
      </c>
      <c r="E17" s="18">
        <f>C17-B2</f>
        <v>1047.130674412967</v>
      </c>
      <c r="F17" s="19">
        <v>24</v>
      </c>
      <c r="G17" s="17">
        <f>G16*(1+D2)</f>
        <v>12203.909613755588</v>
      </c>
      <c r="H17" s="17">
        <f>G16*D2</f>
        <v>100.85875713847594</v>
      </c>
      <c r="I17" s="18">
        <f>G17-B2</f>
        <v>2203.909613755588</v>
      </c>
      <c r="J17" s="3">
        <v>36</v>
      </c>
      <c r="K17" s="1">
        <f>K16*(1+D2)</f>
        <v>13481.818424188265</v>
      </c>
      <c r="L17" s="1">
        <f>K16*D2</f>
        <v>111.41998697676252</v>
      </c>
      <c r="M17" s="5">
        <f>K17-B2</f>
        <v>3481.8184241882645</v>
      </c>
      <c r="N17" s="1"/>
      <c r="O17" s="1"/>
      <c r="P17" s="1"/>
      <c r="Q17" s="1"/>
    </row>
    <row r="18" spans="1:20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20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spans="1:20" x14ac:dyDescent="0.25">
      <c r="A20" s="10">
        <f>A2</f>
        <v>3.5999999999999997E-2</v>
      </c>
      <c r="B20" s="1">
        <v>40000</v>
      </c>
      <c r="C20" s="10">
        <f>A20</f>
        <v>3.5999999999999997E-2</v>
      </c>
      <c r="D20" s="11">
        <f>C20/12</f>
        <v>2.9999999999999996E-3</v>
      </c>
    </row>
    <row r="21" spans="1:20" ht="17.25" x14ac:dyDescent="0.3">
      <c r="C21" s="23" t="s">
        <v>0</v>
      </c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0"/>
      <c r="O21" s="20"/>
      <c r="P21" s="20"/>
      <c r="Q21" s="20"/>
    </row>
    <row r="22" spans="1:20" x14ac:dyDescent="0.25">
      <c r="B22" s="2"/>
      <c r="C22" s="12" t="s">
        <v>2</v>
      </c>
      <c r="D22" s="12" t="s">
        <v>3</v>
      </c>
      <c r="E22" s="13" t="s">
        <v>4</v>
      </c>
      <c r="F22" s="2"/>
      <c r="G22" s="12" t="s">
        <v>2</v>
      </c>
      <c r="H22" s="12" t="s">
        <v>3</v>
      </c>
      <c r="I22" s="13" t="s">
        <v>4</v>
      </c>
      <c r="J22" s="2"/>
      <c r="K22" s="12" t="s">
        <v>2</v>
      </c>
      <c r="L22" s="12" t="s">
        <v>3</v>
      </c>
      <c r="M22" s="13" t="s">
        <v>4</v>
      </c>
      <c r="N22" s="2"/>
      <c r="O22" s="12" t="s">
        <v>2</v>
      </c>
      <c r="P22" s="12" t="s">
        <v>3</v>
      </c>
      <c r="Q22" s="13" t="s">
        <v>4</v>
      </c>
    </row>
    <row r="23" spans="1:20" x14ac:dyDescent="0.25">
      <c r="B23" s="3">
        <v>1</v>
      </c>
      <c r="C23" s="1">
        <f>B20*(1+D20)</f>
        <v>40119.999999999993</v>
      </c>
      <c r="D23" s="1">
        <f>B20*D20</f>
        <v>119.99999999999999</v>
      </c>
      <c r="E23" s="5">
        <f>C23-B20</f>
        <v>119.99999999999272</v>
      </c>
      <c r="F23" s="4">
        <v>13</v>
      </c>
      <c r="G23" s="1">
        <f>C34*(1+D20)</f>
        <v>41588.391209159767</v>
      </c>
      <c r="H23" s="1">
        <f>C34*D20</f>
        <v>124.39199763457557</v>
      </c>
      <c r="I23" s="5">
        <f>G23-B20</f>
        <v>1588.3912091597667</v>
      </c>
      <c r="J23" s="4">
        <v>25</v>
      </c>
      <c r="K23" s="1">
        <f>G34*(1+D20)</f>
        <v>43110.52550763006</v>
      </c>
      <c r="L23" s="1">
        <f>G34*D20</f>
        <v>128.94474229600218</v>
      </c>
      <c r="M23" s="5">
        <f>K23-B20</f>
        <v>3110.52550763006</v>
      </c>
      <c r="N23" s="3">
        <v>37</v>
      </c>
      <c r="O23" s="1">
        <f>K34*(1+D20)</f>
        <v>44688.369891420247</v>
      </c>
      <c r="P23" s="1">
        <f>K34*D20</f>
        <v>133.66411732229386</v>
      </c>
      <c r="Q23" s="1">
        <f>O23-B20</f>
        <v>4688.3698914202469</v>
      </c>
      <c r="S23" s="6" t="s">
        <v>1</v>
      </c>
      <c r="T23" s="7">
        <f>O23-B20</f>
        <v>4688.3698914202469</v>
      </c>
    </row>
    <row r="24" spans="1:20" x14ac:dyDescent="0.25">
      <c r="B24" s="3">
        <v>2</v>
      </c>
      <c r="C24" s="1">
        <f>C23*(1+D20)</f>
        <v>40240.359999999986</v>
      </c>
      <c r="D24" s="1">
        <f>C23*D20</f>
        <v>120.35999999999996</v>
      </c>
      <c r="E24" s="5">
        <f>C24-B20</f>
        <v>240.35999999998603</v>
      </c>
      <c r="F24" s="3">
        <v>14</v>
      </c>
      <c r="G24" s="1">
        <f>G23*(1+D20)</f>
        <v>41713.156382787245</v>
      </c>
      <c r="H24" s="1">
        <f>G23*D20</f>
        <v>124.76517362747929</v>
      </c>
      <c r="I24" s="5">
        <f>G24-B20</f>
        <v>1713.1563827872451</v>
      </c>
      <c r="J24" s="3">
        <v>26</v>
      </c>
      <c r="K24" s="1">
        <f>K23*(1+D20)</f>
        <v>43239.857084152944</v>
      </c>
      <c r="L24" s="1">
        <f>K23*D20</f>
        <v>129.33157652289017</v>
      </c>
      <c r="M24" s="5">
        <f>K24-B20</f>
        <v>3239.8570841529436</v>
      </c>
      <c r="N24" s="1"/>
      <c r="O24" s="1"/>
      <c r="P24" s="1"/>
      <c r="Q24" s="1"/>
      <c r="S24" s="15" t="s">
        <v>5</v>
      </c>
      <c r="T24" s="5">
        <f>B20+T23</f>
        <v>44688.369891420247</v>
      </c>
    </row>
    <row r="25" spans="1:20" x14ac:dyDescent="0.25">
      <c r="B25" s="3">
        <v>3</v>
      </c>
      <c r="C25" s="1">
        <f>C24*(1+D20)</f>
        <v>40361.081079999982</v>
      </c>
      <c r="D25" s="1">
        <f>C24*D20</f>
        <v>120.72107999999994</v>
      </c>
      <c r="E25" s="5">
        <f>C25-B20</f>
        <v>361.08107999998174</v>
      </c>
      <c r="F25" s="3">
        <v>15</v>
      </c>
      <c r="G25" s="1">
        <f>G24*(1+D20)</f>
        <v>41838.295851935603</v>
      </c>
      <c r="H25" s="1">
        <f>G24*D20</f>
        <v>125.13946914836173</v>
      </c>
      <c r="I25" s="5">
        <f>G25-B20</f>
        <v>1838.2958519356034</v>
      </c>
      <c r="J25" s="3">
        <v>27</v>
      </c>
      <c r="K25" s="1">
        <f>K24*(1+D20)</f>
        <v>43369.576655405399</v>
      </c>
      <c r="L25" s="1">
        <f>K24*D20</f>
        <v>129.71957125245882</v>
      </c>
      <c r="M25" s="5">
        <f>K25-B20</f>
        <v>3369.5766554053989</v>
      </c>
      <c r="N25" s="1"/>
      <c r="O25" s="1"/>
      <c r="P25" s="1"/>
      <c r="Q25" s="1"/>
      <c r="S25" s="15" t="s">
        <v>6</v>
      </c>
      <c r="T25" s="5">
        <f>T24-B20</f>
        <v>4688.3698914202469</v>
      </c>
    </row>
    <row r="26" spans="1:20" x14ac:dyDescent="0.25">
      <c r="B26" s="3">
        <v>4</v>
      </c>
      <c r="C26" s="1">
        <f>C25*(1+D20)</f>
        <v>40482.16432323998</v>
      </c>
      <c r="D26" s="1">
        <f>C25*D20</f>
        <v>121.08324323999993</v>
      </c>
      <c r="E26" s="5">
        <f>C26-B20</f>
        <v>482.16432323998015</v>
      </c>
      <c r="F26" s="3">
        <v>16</v>
      </c>
      <c r="G26" s="1">
        <f>G25*(1+D20)</f>
        <v>41963.810739491404</v>
      </c>
      <c r="H26" s="1">
        <f>G25*D20</f>
        <v>125.51488755580679</v>
      </c>
      <c r="I26" s="5">
        <f>G26-B20</f>
        <v>1963.8107394914041</v>
      </c>
      <c r="J26" s="3">
        <v>28</v>
      </c>
      <c r="K26" s="1">
        <f>K25*(1+D20)</f>
        <v>43499.685385371609</v>
      </c>
      <c r="L26" s="1">
        <f>K25*D20</f>
        <v>130.10872996621617</v>
      </c>
      <c r="M26" s="5">
        <f>K26-B20</f>
        <v>3499.6853853716093</v>
      </c>
      <c r="N26" s="1"/>
      <c r="O26" s="1"/>
      <c r="P26" s="1"/>
      <c r="Q26" s="1"/>
      <c r="S26" s="8" t="s">
        <v>19</v>
      </c>
      <c r="T26" s="9">
        <f>B20-T23</f>
        <v>35311.630108579753</v>
      </c>
    </row>
    <row r="27" spans="1:20" x14ac:dyDescent="0.25">
      <c r="B27" s="3">
        <v>5</v>
      </c>
      <c r="C27" s="1">
        <f>C26*(1+D20)</f>
        <v>40603.610816209693</v>
      </c>
      <c r="D27" s="1">
        <f>C26*D20</f>
        <v>121.44649296971993</v>
      </c>
      <c r="E27" s="5">
        <f>C27-B20</f>
        <v>603.61081620969344</v>
      </c>
      <c r="F27" s="3">
        <v>17</v>
      </c>
      <c r="G27" s="1">
        <f>G26*(1+D20)</f>
        <v>42089.702171709876</v>
      </c>
      <c r="H27" s="1">
        <f>G26*D20</f>
        <v>125.89143221847419</v>
      </c>
      <c r="I27" s="5">
        <f>G27-B20</f>
        <v>2089.702171709876</v>
      </c>
      <c r="J27" s="3">
        <v>19</v>
      </c>
      <c r="K27" s="1">
        <f>K26*(1+D20)</f>
        <v>43630.184441527723</v>
      </c>
      <c r="L27" s="1">
        <f>K26*D20</f>
        <v>130.49905615611482</v>
      </c>
      <c r="M27" s="5">
        <f>K27-B20</f>
        <v>3630.1844415277228</v>
      </c>
      <c r="N27" s="1"/>
      <c r="O27" s="1"/>
      <c r="P27" s="1"/>
      <c r="Q27" s="1"/>
    </row>
    <row r="28" spans="1:20" x14ac:dyDescent="0.25">
      <c r="B28" s="3">
        <v>6</v>
      </c>
      <c r="C28" s="1">
        <f>C27*(1+D20)</f>
        <v>40725.421648658317</v>
      </c>
      <c r="D28" s="1">
        <f>C27*D20</f>
        <v>121.81083244862907</v>
      </c>
      <c r="E28" s="5">
        <f>C28-B20</f>
        <v>725.42164865831728</v>
      </c>
      <c r="F28" s="3">
        <v>18</v>
      </c>
      <c r="G28" s="1">
        <f>G27*(1+D20)</f>
        <v>42215.971278224999</v>
      </c>
      <c r="H28" s="1">
        <f>G27*D20</f>
        <v>126.26910651512961</v>
      </c>
      <c r="I28" s="5">
        <f>G28-B20</f>
        <v>2215.971278224999</v>
      </c>
      <c r="J28" s="3">
        <v>30</v>
      </c>
      <c r="K28" s="1">
        <f>K27*(1+D20)</f>
        <v>43761.074994852301</v>
      </c>
      <c r="L28" s="1">
        <f>K27*D20</f>
        <v>130.89055332458315</v>
      </c>
      <c r="M28" s="5">
        <f>K28-B20</f>
        <v>3761.0749948523007</v>
      </c>
      <c r="N28" s="1"/>
      <c r="O28" s="1"/>
      <c r="P28" s="1"/>
      <c r="Q28" s="1"/>
    </row>
    <row r="29" spans="1:20" x14ac:dyDescent="0.25">
      <c r="B29" s="3">
        <v>7</v>
      </c>
      <c r="C29" s="1">
        <f>C28*(1+D20)</f>
        <v>40847.597913604288</v>
      </c>
      <c r="D29" s="1">
        <f>C28*D20</f>
        <v>122.17626494597494</v>
      </c>
      <c r="E29" s="5">
        <f>C29-B20</f>
        <v>847.5979136042879</v>
      </c>
      <c r="F29" s="3">
        <v>19</v>
      </c>
      <c r="G29" s="1">
        <f>G28*(1+D20)</f>
        <v>42342.619192059668</v>
      </c>
      <c r="H29" s="1">
        <f>G28*D20</f>
        <v>126.64791383467498</v>
      </c>
      <c r="I29" s="5">
        <f>G29-B20</f>
        <v>2342.6191920596684</v>
      </c>
      <c r="J29" s="3">
        <v>31</v>
      </c>
      <c r="K29" s="1">
        <f>K28*(1+D20)</f>
        <v>43892.358219836853</v>
      </c>
      <c r="L29" s="1">
        <f>K28*D20</f>
        <v>131.28322498455688</v>
      </c>
      <c r="M29" s="5">
        <f>K29-B20</f>
        <v>3892.3582198368531</v>
      </c>
      <c r="N29" s="1"/>
      <c r="O29" s="1"/>
      <c r="P29" s="1"/>
      <c r="Q29" s="1"/>
    </row>
    <row r="30" spans="1:20" x14ac:dyDescent="0.25">
      <c r="B30" s="3">
        <v>8</v>
      </c>
      <c r="C30" s="1">
        <f>C29*(1+D20)</f>
        <v>40970.140707345097</v>
      </c>
      <c r="D30" s="1">
        <f>C29*D20</f>
        <v>122.54279374081285</v>
      </c>
      <c r="E30" s="5">
        <f>C30-B20</f>
        <v>970.14070734509733</v>
      </c>
      <c r="F30" s="3">
        <v>20</v>
      </c>
      <c r="G30" s="1">
        <f>G29*(1+D20)</f>
        <v>42469.647049635845</v>
      </c>
      <c r="H30" s="1">
        <f>G29*D20</f>
        <v>127.02785757617899</v>
      </c>
      <c r="I30" s="5">
        <f>G30-B20</f>
        <v>2469.6470496358452</v>
      </c>
      <c r="J30" s="3">
        <v>32</v>
      </c>
      <c r="K30" s="1">
        <f>K29*(1+D20)</f>
        <v>44024.03529449636</v>
      </c>
      <c r="L30" s="1">
        <f>K29*D20</f>
        <v>131.67707465951054</v>
      </c>
      <c r="M30" s="5">
        <f>K30-B20</f>
        <v>4024.0352944963597</v>
      </c>
      <c r="N30" s="1"/>
      <c r="O30" s="1"/>
      <c r="P30" s="1"/>
      <c r="Q30" s="1"/>
    </row>
    <row r="31" spans="1:20" x14ac:dyDescent="0.25">
      <c r="B31" s="3">
        <v>9</v>
      </c>
      <c r="C31" s="1">
        <f>C30*(1+D20)</f>
        <v>41093.051129467131</v>
      </c>
      <c r="D31" s="1">
        <f>C30*D20</f>
        <v>122.91042212203527</v>
      </c>
      <c r="E31" s="5">
        <f>C31-B20</f>
        <v>1093.0511294671305</v>
      </c>
      <c r="F31" s="3">
        <v>21</v>
      </c>
      <c r="G31" s="1">
        <f>G30*(1+D20)</f>
        <v>42597.055990784749</v>
      </c>
      <c r="H31" s="1">
        <f>G30*D20</f>
        <v>127.40894114890752</v>
      </c>
      <c r="I31" s="5">
        <f>G31-B20</f>
        <v>2597.0559907847492</v>
      </c>
      <c r="J31" s="3">
        <v>33</v>
      </c>
      <c r="K31" s="1">
        <f>K30*(1+D20)</f>
        <v>44156.107400379842</v>
      </c>
      <c r="L31" s="1">
        <f>K30*D20</f>
        <v>132.07210588348906</v>
      </c>
      <c r="M31" s="5">
        <f>K31-B20</f>
        <v>4156.1074003798421</v>
      </c>
      <c r="N31" s="1"/>
      <c r="O31" s="1"/>
      <c r="P31" s="1"/>
      <c r="Q31" s="1"/>
    </row>
    <row r="32" spans="1:20" x14ac:dyDescent="0.25">
      <c r="B32" s="3">
        <v>10</v>
      </c>
      <c r="C32" s="1">
        <f>C31*(1+D20)</f>
        <v>41216.330282855524</v>
      </c>
      <c r="D32" s="1">
        <f>C31*D20</f>
        <v>123.27915338840138</v>
      </c>
      <c r="E32" s="5">
        <f>C32-B20</f>
        <v>1216.3302828555243</v>
      </c>
      <c r="F32" s="3">
        <v>22</v>
      </c>
      <c r="G32" s="1">
        <f>G31*(1+D20)</f>
        <v>42724.847158757097</v>
      </c>
      <c r="H32" s="1">
        <f>G31*D20</f>
        <v>127.79116797235423</v>
      </c>
      <c r="I32" s="5">
        <f>G32-B20</f>
        <v>2724.8471587570966</v>
      </c>
      <c r="J32" s="3">
        <v>34</v>
      </c>
      <c r="K32" s="1">
        <f>K31*(1+D20)</f>
        <v>44288.575722580979</v>
      </c>
      <c r="L32" s="1">
        <f>K31*D20</f>
        <v>132.4683222011395</v>
      </c>
      <c r="M32" s="5">
        <f>K32-B20</f>
        <v>4288.5757225809793</v>
      </c>
      <c r="N32" s="1"/>
      <c r="O32" s="1"/>
      <c r="P32" s="1"/>
      <c r="Q32" s="1"/>
    </row>
    <row r="33" spans="2:17" x14ac:dyDescent="0.25">
      <c r="B33" s="3">
        <v>11</v>
      </c>
      <c r="C33" s="1">
        <f>C32*(1+D20)</f>
        <v>41339.979273704084</v>
      </c>
      <c r="D33" s="1">
        <f>C32*D20</f>
        <v>123.64899084856656</v>
      </c>
      <c r="E33" s="5">
        <f>C33-B20</f>
        <v>1339.9792737040843</v>
      </c>
      <c r="F33" s="3">
        <v>23</v>
      </c>
      <c r="G33" s="1">
        <f>G32*(1+D20)</f>
        <v>42853.021700233367</v>
      </c>
      <c r="H33" s="1">
        <f>G32*D20</f>
        <v>128.17454147627129</v>
      </c>
      <c r="I33" s="5">
        <f>G33-B20</f>
        <v>2853.0217002333666</v>
      </c>
      <c r="J33" s="3">
        <v>35</v>
      </c>
      <c r="K33" s="1">
        <f>K32*(1+D20)</f>
        <v>44421.441449748716</v>
      </c>
      <c r="L33" s="1">
        <f>K32*D20</f>
        <v>132.86572716774293</v>
      </c>
      <c r="M33" s="5">
        <f>K33-B20</f>
        <v>4421.441449748716</v>
      </c>
      <c r="N33" s="1"/>
      <c r="O33" s="1"/>
      <c r="P33" s="1"/>
      <c r="Q33" s="1"/>
    </row>
    <row r="34" spans="2:17" x14ac:dyDescent="0.25">
      <c r="B34" s="3">
        <v>12</v>
      </c>
      <c r="C34" s="1">
        <f>C33*(1+D20)</f>
        <v>41463.999211525195</v>
      </c>
      <c r="D34" s="1">
        <f>C33*D20</f>
        <v>124.01993782111224</v>
      </c>
      <c r="E34" s="5">
        <f>C34-B20</f>
        <v>1463.9992115251953</v>
      </c>
      <c r="F34" s="3">
        <v>24</v>
      </c>
      <c r="G34" s="1">
        <f>G33*(1+D20)</f>
        <v>42981.58076533406</v>
      </c>
      <c r="H34" s="1">
        <f>G33*D20</f>
        <v>128.55906510070008</v>
      </c>
      <c r="I34" s="5">
        <f>G34-B20</f>
        <v>2981.5807653340598</v>
      </c>
      <c r="J34" s="3">
        <v>36</v>
      </c>
      <c r="K34" s="1">
        <f>K33*(1+D20)</f>
        <v>44554.705774097958</v>
      </c>
      <c r="L34" s="1">
        <f>K33*D20</f>
        <v>133.26432434924612</v>
      </c>
      <c r="M34" s="5">
        <f>K34-B20</f>
        <v>4554.7057740979581</v>
      </c>
      <c r="N34" s="1"/>
      <c r="O34" s="1"/>
      <c r="P34" s="1"/>
      <c r="Q34" s="1"/>
    </row>
  </sheetData>
  <mergeCells count="2">
    <mergeCell ref="C21:M21"/>
    <mergeCell ref="C4:M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2025-03-05T17:43:19Z</dcterms:created>
  <dcterms:modified xsi:type="dcterms:W3CDTF">2026-05-05T10:55:11Z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2025-03-20T12:16:41Z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fd573d08-177c-4020-8cf9-09056ee13725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