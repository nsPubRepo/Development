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988B413E-B41A-4CBE-86BC-C17C4497378D}" xr6:coauthVersionLast="47" xr6:coauthVersionMax="47" xr10:uidLastSave="{00000000-0000-0000-0000-000000000000}"/>
  <bookViews>
    <workbookView xWindow="2175" yWindow="105" windowWidth="33285" windowHeight="2062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'2026'!$B$13:$K$52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U43" i="8"/>
  <c r="K2" i="8" a="1"/>
  <c r="K2" i="8" s="1"/>
  <c r="K3" i="8" s="1"/>
  <c r="K2" i="7" l="1" a="1"/>
  <c r="K2" i="7" s="1"/>
  <c r="K3" i="7" l="1"/>
  <c r="C3" i="7"/>
  <c r="C11" i="8"/>
  <c r="C9" i="8"/>
  <c r="C7" i="8"/>
  <c r="C11" i="7"/>
  <c r="C9" i="7"/>
  <c r="C7" i="7"/>
  <c r="F40" i="7"/>
  <c r="G40" i="7" s="1"/>
  <c r="F41" i="7"/>
  <c r="G41" i="7" s="1"/>
  <c r="C41" i="7"/>
  <c r="L41" i="7" s="1"/>
  <c r="C40" i="7"/>
  <c r="L40" i="7" s="1"/>
  <c r="F43" i="7"/>
  <c r="G43" i="7" s="1"/>
  <c r="C43" i="7"/>
  <c r="L43" i="7" s="1"/>
  <c r="C42" i="7"/>
  <c r="L42" i="7" s="1"/>
  <c r="F42" i="7" l="1"/>
  <c r="G42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F17" i="8"/>
  <c r="G17" i="8" s="1"/>
  <c r="C17" i="8"/>
  <c r="L17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E10" i="8"/>
  <c r="E6" i="8"/>
  <c r="F19" i="7"/>
  <c r="G19" i="7" s="1"/>
  <c r="C19" i="7"/>
  <c r="L19" i="7" s="1"/>
  <c r="C24" i="7"/>
  <c r="C18" i="7"/>
  <c r="P49" i="7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C49" i="7"/>
  <c r="F49" i="7"/>
  <c r="G49" i="7" s="1"/>
  <c r="C50" i="7"/>
  <c r="F50" i="7"/>
  <c r="G50" i="7" s="1"/>
  <c r="C51" i="7"/>
  <c r="F51" i="7"/>
  <c r="G51" i="7" s="1"/>
  <c r="E11" i="8" l="1"/>
  <c r="D10" i="8"/>
  <c r="D11" i="8" s="1"/>
  <c r="D6" i="8"/>
  <c r="D7" i="8" s="1"/>
  <c r="E7" i="8"/>
  <c r="E6" i="7"/>
  <c r="F20" i="8"/>
  <c r="G14" i="8"/>
  <c r="E8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D8" i="8" l="1"/>
  <c r="D9" i="8" s="1"/>
  <c r="E9" i="8"/>
  <c r="E7" i="7"/>
  <c r="D6" i="7"/>
  <c r="D7" i="7" s="1"/>
  <c r="G20" i="8"/>
  <c r="G14" i="7"/>
  <c r="F52" i="7"/>
  <c r="E10" i="7"/>
  <c r="L22" i="7"/>
  <c r="L46" i="7"/>
  <c r="L48" i="7"/>
  <c r="L49" i="7"/>
  <c r="L47" i="7"/>
  <c r="L45" i="7"/>
  <c r="L44" i="7"/>
  <c r="L26" i="7"/>
  <c r="L27" i="7"/>
  <c r="L28" i="7"/>
  <c r="L29" i="7"/>
  <c r="L30" i="7"/>
  <c r="L32" i="7"/>
  <c r="L33" i="7"/>
  <c r="L34" i="7"/>
  <c r="L25" i="7"/>
  <c r="L24" i="7"/>
  <c r="L51" i="7"/>
  <c r="L50" i="7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11" i="7" l="1"/>
  <c r="D10" i="7"/>
  <c r="D11" i="7" s="1"/>
  <c r="E8" i="7"/>
  <c r="G52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E9" i="7" l="1"/>
  <c r="D8" i="7"/>
  <c r="D9" i="7" s="1"/>
  <c r="D10" i="6"/>
  <c r="D11" i="6" s="1"/>
  <c r="D8" i="6"/>
  <c r="D9" i="6" s="1"/>
  <c r="D6" i="6"/>
  <c r="D7" i="6" s="1"/>
  <c r="C37" i="5" l="1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E9" i="1"/>
  <c r="E7" i="1"/>
  <c r="E5" i="1"/>
  <c r="G36" i="1"/>
  <c r="G37" i="1"/>
  <c r="G38" i="1"/>
  <c r="G35" i="1"/>
  <c r="C43" i="1"/>
  <c r="G31" i="1"/>
  <c r="G30" i="1"/>
  <c r="G32" i="1"/>
  <c r="C4" i="2" a="1"/>
  <c r="C4" i="6" a="1"/>
  <c r="C4" i="6" l="1"/>
  <c r="C3" i="6" s="1"/>
  <c r="D3" i="1"/>
  <c r="E3" i="5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3" i="6" l="1"/>
  <c r="D3" i="6" s="1"/>
  <c r="D5" i="6" s="1"/>
  <c r="C5" i="6"/>
  <c r="E5" i="5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5" i="6" l="1"/>
  <c r="E7" i="5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  <c r="C4" i="7" a="1"/>
  <c r="C4" i="7" l="1"/>
  <c r="E3" i="7" l="1"/>
  <c r="C5" i="7"/>
  <c r="C4" i="8" a="1"/>
  <c r="C4" i="8" l="1"/>
  <c r="D3" i="7"/>
  <c r="D5" i="7" s="1"/>
  <c r="E5" i="7"/>
  <c r="E3" i="8" l="1"/>
  <c r="E5" i="8" s="1"/>
  <c r="C5" i="8"/>
  <c r="D3" i="8" l="1"/>
  <c r="D5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<sst xmlns="http://schemas.openxmlformats.org/spreadsheetml/2006/main" count="613" uniqueCount="97">
  <si>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</si>
  <si>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</si>
  <si>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</si>
  <si>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</si>
  <si>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</si>
  <si>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</si>
  <si>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</si>
  <si>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</si>
  <si>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</si>
  <si>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</si>
  <si>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</si>
  <si>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</si>
  <si>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</si>
  <si>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</si>
  <si>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</si>
  <si>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</si>
  <si>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</si>
  <si>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</si>
  <si>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</si>
  <si>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</si>
  <si>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</si>
  <si>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</si>
  <si>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</si>
  <si>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</si>
  <si>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</si>
  <si>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</si>
  <si>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</si>
  <si>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</si>
  <si>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</si>
  <si>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</si>
  <si>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</si>
  <si>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</si>
  <si>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</si>
  <si>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</si>
  <si>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</si>
  <si>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</si>
  <si>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</si>
  <si>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</si>
  <si>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</si>
  <si>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</si>
  <si>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</si>
  <si>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</si>
  <si>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</si>
  <si>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</si>
  <si>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</si>
  <si>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</si>
  <si>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</si>
  <si>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</si>
  <si>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</si>
  <si>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</si>
  <si>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</si>
  <si>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</si>
  <si>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</si>
  <si>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</si>
  <si>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</si>
  <si>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</si>
  <si>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</si>
  <si>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</si>
  <si>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</si>
  <si>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</si>
  <si>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</si>
  <si>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</si>
  <si>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</si>
  <si>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</si>
  <si>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</si>
  <si>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</si>
  <si>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</si>
  <si>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</si>
  <si>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</si>
  <si>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</si>
  <si>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</si>
  <si>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</si>
  <si>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</si>
  <si>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</si>
  <si>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</si>
  <si>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</si>
  <si>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</si>
  <si>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</si>
  <si>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</si>
  <si>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</si>
  <si>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</si>
  <si>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</si>
  <si>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</si>
  <si>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</si>
  <si>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</si>
  <si>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</si>
  <si>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</si>
  <si>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</si>
  <si>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</si>
  <si>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</si>
  <si>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</si>
  <si>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</si>
  <si>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</si>
  <si>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</si>
  <si>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Not sick / Sparky undercoating</t>
  </si>
  <si>
    <t>G sick / helping get kids up, around &amp; dropped off</t>
  </si>
  <si>
    <t>G sick / helping get kids picked up &amp; C to dentist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</si>
</sst>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9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5" fontId="0" fillId="9" borderId="8" xfId="0" applyNumberFormat="1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18" fontId="0" fillId="9" borderId="6" xfId="0" applyNumberFormat="1" applyFill="1" applyBorder="1" applyAlignment="1">
      <alignment horizontal="center"/>
    </xf>
    <xf numFmtId="0" fontId="0" fillId="9" borderId="75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0" fillId="9" borderId="5" xfId="0" applyFill="1" applyBorder="1" applyAlignment="1">
      <alignment horizontal="center" wrapText="1"/>
    </xf>
  </cellXfs>
  <cellStyles count="1">
    <cellStyle name="Normal" xfId="0" builtinId="0"/>
  </cellStyles>
  <dxfs count="5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41</xdr:row>
      <xdr:rowOff>173692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17</xdr:col>
      <xdr:colOff>441917</xdr:colOff>
      <xdr:row>38</xdr:row>
      <xdr:rowOff>14474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E4D2A9-6F29-4694-B643-3FDBE6CB8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183971" y="201706"/>
          <a:ext cx="2873593" cy="74887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29</xdr:col>
      <xdr:colOff>577443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27</xdr:col>
      <xdr:colOff>345290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582706</xdr:colOff>
      <xdr:row>27</xdr:row>
      <xdr:rowOff>179294</xdr:rowOff>
    </xdr:from>
    <xdr:to>
      <xdr:col>29</xdr:col>
      <xdr:colOff>458321</xdr:colOff>
      <xdr:row>45</xdr:row>
      <xdr:rowOff>16809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50F1BD-670D-4CBF-B9D3-9E9719CC6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691412" y="6129618"/>
          <a:ext cx="6419850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43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5" max="15" width="5.85546875" bestFit="1" customWidth="1"/>
    <col min="16" max="16" width="4.8554687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  <c r="K2" cm="1">
        <f t="array" aca="1" ref="K2" ca="1">INT(_xlfn.TEXTAFTER(CELL("filename", A1), "]"))</f>
        <v>2027</v>
      </c>
    </row>
    <row r="3" spans="2:12">
      <c r="B3" s="4" t="s">
        <v>6</v>
      </c>
      <c r="C3" s="3">
        <f>160</f>
        <v>160</v>
      </c>
      <c r="D3" s="3">
        <f ca="1">SUM(C3 + C4) - E3</f>
        <v>56</v>
      </c>
      <c r="E3" s="1">
        <f ca="1">SUM(C3 + C4) - C6 - SUMIF(H14:H19, "PTO", G14:G19)</f>
        <v>124</v>
      </c>
      <c r="K3" s="56" t="str">
        <f ca="1">"PTO Reset: 02/12/" &amp; INT(K2)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20.000000000000007</v>
      </c>
      <c r="D4" s="74"/>
      <c r="E4" s="75"/>
    </row>
    <row r="5" spans="2:12" ht="15.75" thickBot="1">
      <c r="B5" s="6" t="s">
        <v>5</v>
      </c>
      <c r="C5" s="7">
        <f ca="1">SUM(C3 + C4) / 8</f>
        <v>22.5</v>
      </c>
      <c r="D5" s="7">
        <f ca="1">D3 / 8</f>
        <v>7</v>
      </c>
      <c r="E5" s="8">
        <f ca="1">E3 / 8</f>
        <v>15.5</v>
      </c>
    </row>
    <row r="6" spans="2:12">
      <c r="B6" s="9" t="s">
        <v>15</v>
      </c>
      <c r="C6" s="10">
        <v>40</v>
      </c>
      <c r="D6" s="10">
        <f>C6  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 / 8</f>
        <v>5</v>
      </c>
      <c r="D7" s="13">
        <f>D6 / 8</f>
        <v>0</v>
      </c>
      <c r="E7" s="14">
        <f>E6 / 8</f>
        <v>5</v>
      </c>
    </row>
    <row r="8" spans="2:12">
      <c r="B8" s="5" t="s">
        <v>7</v>
      </c>
      <c r="C8" s="2">
        <v>16</v>
      </c>
      <c r="D8" s="2">
        <f>C8 - 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 / 8</f>
        <v>2</v>
      </c>
      <c r="D9" s="7">
        <f>D8 / 8</f>
        <v>0</v>
      </c>
      <c r="E9" s="15">
        <f>E8 / 8</f>
        <v>2</v>
      </c>
    </row>
    <row r="10" spans="2:12">
      <c r="B10" s="127" t="s">
        <v>22</v>
      </c>
      <c r="C10" s="128">
        <v>4</v>
      </c>
      <c r="D10" s="128">
        <f>C10 - 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 / 8</f>
        <v>0.5</v>
      </c>
      <c r="D11" s="131">
        <f>D10 / 8</f>
        <v>0</v>
      </c>
      <c r="E11" s="132">
        <f>E10 / 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49" t="str">
        <f t="shared" si="0"/>
        <v>Fri</v>
      </c>
      <c r="D16" s="350">
        <v>0.29166666666666669</v>
      </c>
      <c r="E16" s="350">
        <v>0.66666666666666663</v>
      </c>
      <c r="F16" s="351">
        <f>((E16 - D16) * 24)</f>
        <v>8.9999999999999982</v>
      </c>
      <c r="G16" s="349">
        <f>IF(F16 &gt; 4, (F16 - 1), F16)</f>
        <v>7.9999999999999982</v>
      </c>
      <c r="H16" s="352" t="s">
        <v>4</v>
      </c>
      <c r="I16" s="202" t="s">
        <v>28</v>
      </c>
      <c r="J16" s="321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1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3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39" t="s">
        <v>85</v>
      </c>
      <c r="V18" s="340" t="e">
        <f>#REF!+1</f>
        <v>#REF!</v>
      </c>
      <c r="W18" s="341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  <row r="32" spans="2:23" ht="15.75" thickBot="1"/>
    <row r="33" spans="19:21" ht="15.75" thickBot="1">
      <c r="S33" s="336" t="s">
        <v>74</v>
      </c>
      <c r="T33" s="98" t="s">
        <v>75</v>
      </c>
      <c r="U33" s="200" t="s">
        <v>2</v>
      </c>
    </row>
    <row r="34" spans="19:21">
      <c r="S34" s="342" t="s">
        <v>76</v>
      </c>
      <c r="T34" s="343">
        <v>2024</v>
      </c>
      <c r="U34" s="344">
        <v>160</v>
      </c>
    </row>
    <row r="35" spans="19:21">
      <c r="S35" s="345" t="s">
        <v>77</v>
      </c>
      <c r="T35" s="346">
        <v>2025</v>
      </c>
      <c r="U35" s="347">
        <v>160</v>
      </c>
    </row>
    <row r="36" spans="19:21">
      <c r="S36" s="337" t="s">
        <v>78</v>
      </c>
      <c r="T36" s="70">
        <v>2026</v>
      </c>
      <c r="U36" s="338">
        <v>160</v>
      </c>
    </row>
    <row r="37" spans="19:21">
      <c r="S37" s="337" t="s">
        <v>79</v>
      </c>
      <c r="T37" s="70">
        <v>2027</v>
      </c>
      <c r="U37" s="338">
        <v>160</v>
      </c>
    </row>
    <row r="38" spans="19:21">
      <c r="S38" s="337" t="s">
        <v>80</v>
      </c>
      <c r="T38" s="70">
        <v>2028</v>
      </c>
      <c r="U38" s="338">
        <v>176</v>
      </c>
    </row>
    <row r="39" spans="19:21">
      <c r="S39" s="337" t="s">
        <v>81</v>
      </c>
      <c r="T39" s="70">
        <v>2029</v>
      </c>
      <c r="U39" s="338">
        <v>176</v>
      </c>
    </row>
    <row r="40" spans="19:21">
      <c r="S40" s="337" t="s">
        <v>82</v>
      </c>
      <c r="T40" s="70">
        <v>2030</v>
      </c>
      <c r="U40" s="338">
        <v>176</v>
      </c>
    </row>
    <row r="41" spans="19:21">
      <c r="S41" s="337" t="s">
        <v>83</v>
      </c>
      <c r="T41" s="70">
        <v>2031</v>
      </c>
      <c r="U41" s="338">
        <v>176</v>
      </c>
    </row>
    <row r="42" spans="19:21">
      <c r="S42" s="337" t="s">
        <v>84</v>
      </c>
      <c r="T42" s="70">
        <v>2032</v>
      </c>
      <c r="U42" s="338">
        <v>176</v>
      </c>
    </row>
    <row r="43" spans="19:21" ht="15.75" thickBot="1">
      <c r="S43" s="339" t="s">
        <v>85</v>
      </c>
      <c r="T43" s="340">
        <v>2033</v>
      </c>
      <c r="U43" s="341">
        <f>192 + 10</f>
        <v>202</v>
      </c>
    </row>
  </sheetData>
  <autoFilter ref="B13:K20" xr:uid="{4B51B8F7-4ACE-45CA-965B-2AD2897F333A}"/>
  <conditionalFormatting sqref="B14:L19">
    <cfRule type="expression" dxfId="52" priority="2">
      <formula>$L14="Passed"</formula>
    </cfRule>
  </conditionalFormatting>
  <conditionalFormatting sqref="C14:F19 L14:L19">
    <cfRule type="cellIs" dxfId="51" priority="3" operator="equal">
      <formula>"TBD"</formula>
    </cfRule>
  </conditionalFormatting>
  <conditionalFormatting sqref="E3 E5">
    <cfRule type="cellIs" dxfId="50" priority="4" operator="greaterThan">
      <formula>0</formula>
    </cfRule>
  </conditionalFormatting>
  <conditionalFormatting sqref="E3 E5:E11">
    <cfRule type="cellIs" dxfId="49" priority="6" operator="lessThanOrEqual">
      <formula>0</formula>
    </cfRule>
  </conditionalFormatting>
  <conditionalFormatting sqref="I14:J19">
    <cfRule type="cellIs" dxfId="48" priority="1" operator="equal">
      <formula>"N/A"</formula>
    </cfRule>
    <cfRule type="cellIs" dxfId="47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52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0" max="20" width="5.85546875" bestFit="1" customWidth="1"/>
    <col min="21" max="21" width="4.8554687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  <c r="K2" cm="1">
        <f t="array" aca="1" ref="K2" ca="1">INT(_xlfn.TEXTAFTER(CELL("filename", A1), "]"))</f>
        <v>2026</v>
      </c>
    </row>
    <row r="3" spans="2:12">
      <c r="B3" s="4" t="s">
        <v>6</v>
      </c>
      <c r="C3" s="3">
        <f ca="1">IF(K2 &lt;= O43, P40, IF(AND(K2 &gt;= O44, K2 &lt; O49), P44, IF(MOD(K2 - O40, 10) = 0, P49 + 80, P49)))</f>
        <v>160</v>
      </c>
      <c r="D3" s="3">
        <f ca="1">C3-E3</f>
        <v>160</v>
      </c>
      <c r="E3" s="1">
        <f ca="1">SUM(C3 + C4) - C6 - SUMIF(H14:H51, "PTO", G14:G51)</f>
        <v>0</v>
      </c>
      <c r="K3" s="56" t="str">
        <f ca="1">"PTO Reset: 02/12/" &amp; INT(K2)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SUM(C3 + C4) / 8</f>
        <v>21.0625</v>
      </c>
      <c r="D5" s="7">
        <f ca="1">D3 / 8</f>
        <v>20</v>
      </c>
      <c r="E5" s="8">
        <f ca="1">E3 / 8</f>
        <v>0</v>
      </c>
    </row>
    <row r="6" spans="2:12">
      <c r="B6" s="9" t="s">
        <v>15</v>
      </c>
      <c r="C6" s="10">
        <v>40</v>
      </c>
      <c r="D6" s="10">
        <f>C6 - E6</f>
        <v>19.999999999999993</v>
      </c>
      <c r="E6" s="11">
        <f>C6 - SUMIF(H14:H51, "Sick", G14:G51)</f>
        <v>20.000000000000007</v>
      </c>
    </row>
    <row r="7" spans="2:12" ht="15.75" thickBot="1">
      <c r="B7" s="12" t="s">
        <v>16</v>
      </c>
      <c r="C7" s="13">
        <f>C6 / 8</f>
        <v>5</v>
      </c>
      <c r="D7" s="13">
        <f>D6 / 8</f>
        <v>2.4999999999999991</v>
      </c>
      <c r="E7" s="14">
        <f>E6 / 8</f>
        <v>2.5000000000000009</v>
      </c>
    </row>
    <row r="8" spans="2:12">
      <c r="B8" s="5" t="s">
        <v>7</v>
      </c>
      <c r="C8" s="2">
        <v>16</v>
      </c>
      <c r="D8" s="2">
        <f>C8 - E8</f>
        <v>16</v>
      </c>
      <c r="E8" s="1">
        <f>C8 - SUMIF(H14:H51, "Be You", G14:G51)</f>
        <v>0</v>
      </c>
      <c r="K8" s="51"/>
    </row>
    <row r="9" spans="2:12" ht="15.75" thickBot="1">
      <c r="B9" s="6" t="s">
        <v>8</v>
      </c>
      <c r="C9" s="7">
        <f>C8 / 8</f>
        <v>2</v>
      </c>
      <c r="D9" s="7">
        <f>D8 / 8</f>
        <v>2</v>
      </c>
      <c r="E9" s="15">
        <f>E8 / 8</f>
        <v>0</v>
      </c>
    </row>
    <row r="10" spans="2:12">
      <c r="B10" s="127" t="s">
        <v>22</v>
      </c>
      <c r="C10" s="128">
        <v>4</v>
      </c>
      <c r="D10" s="128">
        <f>C10 - E10</f>
        <v>0</v>
      </c>
      <c r="E10" s="129">
        <f>C10 - SUMIF(H14:H51, "Volunteer", G14:G51)</f>
        <v>4</v>
      </c>
      <c r="K10" s="36"/>
    </row>
    <row r="11" spans="2:12" ht="15.75" thickBot="1">
      <c r="B11" s="130" t="s">
        <v>23</v>
      </c>
      <c r="C11" s="131">
        <f>C10 / 8</f>
        <v>0.5</v>
      </c>
      <c r="D11" s="131">
        <f>D10 / 8</f>
        <v>0</v>
      </c>
      <c r="E11" s="132">
        <f>E10 / 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1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48">
        <v>0.29166666666666669</v>
      </c>
      <c r="E18" s="348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33">
        <f>((E19 - D19) * 24)</f>
        <v>0.49999999999999822</v>
      </c>
      <c r="G19" s="354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56" t="str">
        <f>IF(ISNUMBER(FIND("?", B20, 1)), "TBD", TEXT(B20, "ddd"))</f>
        <v>Tue</v>
      </c>
      <c r="D20" s="357">
        <v>0.29166666666666669</v>
      </c>
      <c r="E20" s="357">
        <v>0.45833333333333331</v>
      </c>
      <c r="F20" s="358">
        <f>((E20 - D20) * 24)</f>
        <v>3.9999999999999991</v>
      </c>
      <c r="G20" s="356">
        <f>IF(F20 &gt; 4, (F20 - 1), F20)</f>
        <v>3.9999999999999991</v>
      </c>
      <c r="H20" s="359" t="s">
        <v>4</v>
      </c>
      <c r="I20" s="196" t="s">
        <v>20</v>
      </c>
      <c r="J20" s="196" t="s">
        <v>20</v>
      </c>
      <c r="K20" s="360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1" t="s">
        <v>20</v>
      </c>
      <c r="J21" s="321" t="s">
        <v>20</v>
      </c>
      <c r="K21" s="360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1">
        <v>46227</v>
      </c>
      <c r="C23" s="332" t="str">
        <f>IF(ISNUMBER(FIND("?", B23, 1)), "TBD", TEXT(B23, "ddd"))</f>
        <v>Fri</v>
      </c>
      <c r="D23" s="333">
        <v>0.29166666666666669</v>
      </c>
      <c r="E23" s="333">
        <v>0.66666666666666663</v>
      </c>
      <c r="F23" s="221">
        <f>((E23 - D23) * 24)</f>
        <v>8.9999999999999982</v>
      </c>
      <c r="G23" s="332">
        <f>IF(F23 &gt; 4, (F23 - 1), F23)</f>
        <v>7.9999999999999982</v>
      </c>
      <c r="H23" s="334" t="s">
        <v>4</v>
      </c>
      <c r="I23" s="199" t="s">
        <v>20</v>
      </c>
      <c r="J23" s="199" t="s">
        <v>20</v>
      </c>
      <c r="K23" s="335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3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3" t="str">
        <f t="shared" ca="1" si="2"/>
        <v>Passed</v>
      </c>
    </row>
    <row r="26" spans="2:12" ht="15.75" thickBot="1">
      <c r="B26" s="324">
        <v>46234</v>
      </c>
      <c r="C26" s="325" t="str">
        <f t="shared" ref="C26:C49" si="5">IF(ISNUMBER(FIND("?", B26, 1)), "TBD", TEXT(B26, "ddd"))</f>
        <v>Fri</v>
      </c>
      <c r="D26" s="326">
        <v>0.45833333333333331</v>
      </c>
      <c r="E26" s="326">
        <v>0.66666666666666663</v>
      </c>
      <c r="F26" s="327">
        <f t="shared" ref="F26:F46" si="6">((E26 - D26) * 24)</f>
        <v>5</v>
      </c>
      <c r="G26" s="325">
        <f t="shared" ref="G26:G49" si="7">IF(F26 &gt; 4, (F26 - 1), F26)</f>
        <v>4</v>
      </c>
      <c r="H26" s="328" t="s">
        <v>4</v>
      </c>
      <c r="I26" s="244" t="s">
        <v>20</v>
      </c>
      <c r="J26" s="244" t="s">
        <v>20</v>
      </c>
      <c r="K26" s="329" t="s">
        <v>59</v>
      </c>
      <c r="L26" s="330" t="str">
        <f t="shared" ref="L26:L49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>
      <c r="B37" s="316">
        <v>46275</v>
      </c>
      <c r="C37" s="317" t="str">
        <f t="shared" si="9"/>
        <v>Thu</v>
      </c>
      <c r="D37" s="318">
        <v>0.41666666666666669</v>
      </c>
      <c r="E37" s="318">
        <v>0.45833333333333331</v>
      </c>
      <c r="F37" s="319">
        <f t="shared" si="10"/>
        <v>0.99999999999999911</v>
      </c>
      <c r="G37" s="317">
        <f t="shared" si="11"/>
        <v>0.99999999999999911</v>
      </c>
      <c r="H37" s="320" t="s">
        <v>4</v>
      </c>
      <c r="I37" s="321" t="s">
        <v>20</v>
      </c>
      <c r="J37" s="321" t="s">
        <v>20</v>
      </c>
      <c r="K37" s="322" t="s">
        <v>72</v>
      </c>
      <c r="L37" s="67" t="str">
        <f t="shared" ca="1" si="12"/>
        <v>Passed</v>
      </c>
    </row>
    <row r="38" spans="2:16" ht="15.75" thickBot="1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1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</row>
    <row r="39" spans="2:16" ht="15.75" thickBot="1">
      <c r="B39" s="106">
        <v>46275</v>
      </c>
      <c r="C39" s="171" t="str">
        <f t="shared" ref="C39:C41" si="13">IF(ISNUMBER(FIND("?", B39, 1)), "TBD", TEXT(B39, "ddd"))</f>
        <v>Thu</v>
      </c>
      <c r="D39" s="161">
        <v>0.5</v>
      </c>
      <c r="E39" s="161">
        <v>0.66666666666666663</v>
      </c>
      <c r="F39" s="225">
        <f t="shared" ref="F39:F43" si="14">((E39 - D39) * 24)</f>
        <v>3.9999999999999991</v>
      </c>
      <c r="G39" s="171">
        <f t="shared" ref="G39:G43" si="15">IF(F39 &gt; 4, (F39 - 1), F39)</f>
        <v>3.9999999999999991</v>
      </c>
      <c r="H39" s="186" t="s">
        <v>32</v>
      </c>
      <c r="I39" s="198" t="s">
        <v>20</v>
      </c>
      <c r="J39" s="198" t="s">
        <v>20</v>
      </c>
      <c r="K39" s="211" t="s">
        <v>93</v>
      </c>
      <c r="L39" s="193" t="str">
        <f t="shared" ref="L39:L43" ca="1" si="16">IF(C39 = "TBD", "TBD", IF(B39 = "", "IDK!!", IF(TODAY() &gt; B39, "Passed", IF(TODAY() = B39, "Today!!", "Upcoming"))))</f>
        <v>Passed</v>
      </c>
      <c r="N39" s="336" t="s">
        <v>74</v>
      </c>
      <c r="O39" s="98" t="s">
        <v>75</v>
      </c>
      <c r="P39" s="200" t="s">
        <v>2</v>
      </c>
    </row>
    <row r="40" spans="2:16">
      <c r="B40" s="316">
        <v>46289</v>
      </c>
      <c r="C40" s="317" t="str">
        <f t="shared" si="13"/>
        <v>Thu</v>
      </c>
      <c r="D40" s="318">
        <v>0.29166666666666669</v>
      </c>
      <c r="E40" s="318">
        <v>0.375</v>
      </c>
      <c r="F40" s="319">
        <f t="shared" si="14"/>
        <v>1.9999999999999996</v>
      </c>
      <c r="G40" s="317">
        <f t="shared" si="15"/>
        <v>1.9999999999999996</v>
      </c>
      <c r="H40" s="320" t="s">
        <v>32</v>
      </c>
      <c r="I40" s="321" t="s">
        <v>20</v>
      </c>
      <c r="J40" s="321" t="s">
        <v>20</v>
      </c>
      <c r="K40" s="322" t="s">
        <v>95</v>
      </c>
      <c r="L40" s="67" t="str">
        <f t="shared" ca="1" si="16"/>
        <v>Passed</v>
      </c>
      <c r="N40" s="342" t="s">
        <v>76</v>
      </c>
      <c r="O40" s="343">
        <v>2024</v>
      </c>
      <c r="P40" s="344">
        <v>160</v>
      </c>
    </row>
    <row r="41" spans="2:16" ht="15.75" thickBot="1">
      <c r="B41" s="107">
        <v>46289</v>
      </c>
      <c r="C41" s="172" t="str">
        <f t="shared" si="13"/>
        <v>Thu</v>
      </c>
      <c r="D41" s="162">
        <v>0.58333333333333337</v>
      </c>
      <c r="E41" s="162">
        <v>0.66666666666666663</v>
      </c>
      <c r="F41" s="361">
        <f t="shared" si="14"/>
        <v>1.9999999999999982</v>
      </c>
      <c r="G41" s="172">
        <f t="shared" si="15"/>
        <v>1.9999999999999982</v>
      </c>
      <c r="H41" s="187" t="s">
        <v>32</v>
      </c>
      <c r="I41" s="202" t="s">
        <v>20</v>
      </c>
      <c r="J41" s="202" t="s">
        <v>20</v>
      </c>
      <c r="K41" s="212" t="s">
        <v>96</v>
      </c>
      <c r="L41" s="251" t="str">
        <f t="shared" ca="1" si="16"/>
        <v>Passed</v>
      </c>
      <c r="N41" s="345" t="s">
        <v>77</v>
      </c>
      <c r="O41" s="346">
        <v>2025</v>
      </c>
      <c r="P41" s="347">
        <v>160</v>
      </c>
    </row>
    <row r="42" spans="2:16">
      <c r="B42" s="295">
        <v>46297</v>
      </c>
      <c r="C42" s="296" t="str">
        <f>IF(ISNUMBER(FIND("?", B42, 1)), "TBD", TEXT(B42, "ddd"))</f>
        <v>Fri</v>
      </c>
      <c r="D42" s="297">
        <v>0.29166666666666669</v>
      </c>
      <c r="E42" s="297">
        <v>0.375</v>
      </c>
      <c r="F42" s="298">
        <f t="shared" si="14"/>
        <v>1.9999999999999996</v>
      </c>
      <c r="G42" s="296">
        <f t="shared" si="15"/>
        <v>1.9999999999999996</v>
      </c>
      <c r="H42" s="299" t="s">
        <v>32</v>
      </c>
      <c r="I42" s="196" t="s">
        <v>20</v>
      </c>
      <c r="J42" s="196" t="s">
        <v>20</v>
      </c>
      <c r="K42" s="362" t="s">
        <v>94</v>
      </c>
      <c r="L42" s="42" t="str">
        <f t="shared" ca="1" si="16"/>
        <v>Passed</v>
      </c>
      <c r="N42" s="337" t="s">
        <v>78</v>
      </c>
      <c r="O42" s="70">
        <v>2026</v>
      </c>
      <c r="P42" s="338">
        <v>160</v>
      </c>
    </row>
    <row r="43" spans="2:16" ht="15.75" thickBot="1">
      <c r="B43" s="363">
        <v>46297</v>
      </c>
      <c r="C43" s="364" t="str">
        <f>IF(ISNUMBER(FIND("?", B43, 1)), "TBD", TEXT(B43, "ddd"))</f>
        <v>Fri</v>
      </c>
      <c r="D43" s="365">
        <v>0.58333333333333337</v>
      </c>
      <c r="E43" s="365">
        <v>0.66666666666666663</v>
      </c>
      <c r="F43" s="366">
        <f t="shared" si="14"/>
        <v>1.9999999999999982</v>
      </c>
      <c r="G43" s="364">
        <f t="shared" si="15"/>
        <v>1.9999999999999982</v>
      </c>
      <c r="H43" s="367" t="s">
        <v>32</v>
      </c>
      <c r="I43" s="244" t="s">
        <v>20</v>
      </c>
      <c r="J43" s="244" t="s">
        <v>20</v>
      </c>
      <c r="K43" s="368" t="s">
        <v>94</v>
      </c>
      <c r="L43" s="60" t="str">
        <f t="shared" ca="1" si="16"/>
        <v>Passed</v>
      </c>
      <c r="N43" s="337" t="s">
        <v>79</v>
      </c>
      <c r="O43" s="70">
        <v>2027</v>
      </c>
      <c r="P43" s="338">
        <v>160</v>
      </c>
    </row>
    <row r="44" spans="2:16" ht="15.75" thickBot="1">
      <c r="B44" s="124">
        <v>46353</v>
      </c>
      <c r="C44" s="173" t="str">
        <f t="shared" si="5"/>
        <v>Fri</v>
      </c>
      <c r="D44" s="155">
        <v>0.29166666666666669</v>
      </c>
      <c r="E44" s="155">
        <v>0.66666666666666663</v>
      </c>
      <c r="F44" s="226">
        <f t="shared" si="6"/>
        <v>8.9999999999999982</v>
      </c>
      <c r="G44" s="173">
        <f t="shared" si="7"/>
        <v>7.9999999999999982</v>
      </c>
      <c r="H44" s="188" t="s">
        <v>4</v>
      </c>
      <c r="I44" s="200" t="s">
        <v>20</v>
      </c>
      <c r="J44" s="200" t="s">
        <v>20</v>
      </c>
      <c r="K44" s="269" t="s">
        <v>14</v>
      </c>
      <c r="L44" s="192" t="str">
        <f t="shared" ca="1" si="8"/>
        <v>Upcoming</v>
      </c>
      <c r="N44" s="337" t="s">
        <v>80</v>
      </c>
      <c r="O44" s="70">
        <v>2028</v>
      </c>
      <c r="P44" s="338">
        <v>176</v>
      </c>
    </row>
    <row r="45" spans="2:16">
      <c r="B45" s="112">
        <v>46380</v>
      </c>
      <c r="C45" s="264" t="str">
        <f t="shared" si="5"/>
        <v>Thu</v>
      </c>
      <c r="D45" s="262">
        <v>0.29166666666666669</v>
      </c>
      <c r="E45" s="262">
        <v>0.66666666666666663</v>
      </c>
      <c r="F45" s="263">
        <f t="shared" si="6"/>
        <v>8.9999999999999982</v>
      </c>
      <c r="G45" s="264">
        <f t="shared" si="7"/>
        <v>7.9999999999999982</v>
      </c>
      <c r="H45" s="265" t="s">
        <v>4</v>
      </c>
      <c r="I45" s="196" t="s">
        <v>20</v>
      </c>
      <c r="J45" s="196" t="s">
        <v>20</v>
      </c>
      <c r="K45" s="266" t="s">
        <v>60</v>
      </c>
      <c r="L45" s="42" t="str">
        <f t="shared" ca="1" si="8"/>
        <v>Upcoming</v>
      </c>
      <c r="N45" s="337" t="s">
        <v>81</v>
      </c>
      <c r="O45" s="70">
        <v>2029</v>
      </c>
      <c r="P45" s="338">
        <v>176</v>
      </c>
    </row>
    <row r="46" spans="2:16">
      <c r="B46" s="120">
        <v>46384</v>
      </c>
      <c r="C46" s="274" t="str">
        <f t="shared" si="5"/>
        <v>Mon</v>
      </c>
      <c r="D46" s="275">
        <v>0.29166666666666669</v>
      </c>
      <c r="E46" s="275">
        <v>0.66666666666666663</v>
      </c>
      <c r="F46" s="276">
        <f t="shared" si="6"/>
        <v>8.9999999999999982</v>
      </c>
      <c r="G46" s="274">
        <f t="shared" si="7"/>
        <v>7.9999999999999982</v>
      </c>
      <c r="H46" s="277" t="s">
        <v>4</v>
      </c>
      <c r="I46" s="199" t="s">
        <v>20</v>
      </c>
      <c r="J46" s="199" t="s">
        <v>20</v>
      </c>
      <c r="K46" s="278" t="s">
        <v>60</v>
      </c>
      <c r="L46" s="59" t="str">
        <f t="shared" ca="1" si="8"/>
        <v>Upcoming</v>
      </c>
      <c r="N46" s="337" t="s">
        <v>82</v>
      </c>
      <c r="O46" s="70">
        <v>2030</v>
      </c>
      <c r="P46" s="338">
        <v>176</v>
      </c>
    </row>
    <row r="47" spans="2:16">
      <c r="B47" s="270">
        <v>46385</v>
      </c>
      <c r="C47" s="271" t="str">
        <f t="shared" si="5"/>
        <v>Tue</v>
      </c>
      <c r="D47" s="275">
        <v>0.29166666666666669</v>
      </c>
      <c r="E47" s="275">
        <v>0.66666666666666663</v>
      </c>
      <c r="F47" s="276">
        <f t="shared" ref="F47:F49" si="17">((E47 - D47) * 24)</f>
        <v>8.9999999999999982</v>
      </c>
      <c r="G47" s="274">
        <f t="shared" si="7"/>
        <v>7.9999999999999982</v>
      </c>
      <c r="H47" s="272" t="s">
        <v>4</v>
      </c>
      <c r="I47" s="198" t="s">
        <v>20</v>
      </c>
      <c r="J47" s="198" t="s">
        <v>20</v>
      </c>
      <c r="K47" s="273" t="s">
        <v>60</v>
      </c>
      <c r="L47" s="193" t="str">
        <f t="shared" ca="1" si="8"/>
        <v>Upcoming</v>
      </c>
      <c r="N47" s="337" t="s">
        <v>83</v>
      </c>
      <c r="O47" s="70">
        <v>2031</v>
      </c>
      <c r="P47" s="338">
        <v>176</v>
      </c>
    </row>
    <row r="48" spans="2:16">
      <c r="B48" s="270">
        <v>46386</v>
      </c>
      <c r="C48" s="271" t="str">
        <f t="shared" si="5"/>
        <v>Wed</v>
      </c>
      <c r="D48" s="275">
        <v>0.29166666666666669</v>
      </c>
      <c r="E48" s="275">
        <v>0.66666666666666663</v>
      </c>
      <c r="F48" s="276">
        <f t="shared" si="17"/>
        <v>8.9999999999999982</v>
      </c>
      <c r="G48" s="274">
        <f t="shared" si="7"/>
        <v>7.9999999999999982</v>
      </c>
      <c r="H48" s="272" t="s">
        <v>4</v>
      </c>
      <c r="I48" s="198" t="s">
        <v>20</v>
      </c>
      <c r="J48" s="198" t="s">
        <v>20</v>
      </c>
      <c r="K48" s="273" t="s">
        <v>60</v>
      </c>
      <c r="L48" s="193" t="str">
        <f t="shared" ca="1" si="8"/>
        <v>Upcoming</v>
      </c>
      <c r="N48" s="337" t="s">
        <v>84</v>
      </c>
      <c r="O48" s="70">
        <v>2032</v>
      </c>
      <c r="P48" s="338">
        <v>176</v>
      </c>
    </row>
    <row r="49" spans="2:16" ht="15.75" thickBot="1">
      <c r="B49" s="113">
        <v>46387</v>
      </c>
      <c r="C49" s="271" t="str">
        <f t="shared" si="5"/>
        <v>Thu</v>
      </c>
      <c r="D49" s="275">
        <v>0.29166666666666669</v>
      </c>
      <c r="E49" s="275">
        <v>0.66666666666666663</v>
      </c>
      <c r="F49" s="276">
        <f t="shared" si="17"/>
        <v>8.9999999999999982</v>
      </c>
      <c r="G49" s="274">
        <f t="shared" si="7"/>
        <v>7.9999999999999982</v>
      </c>
      <c r="H49" s="267" t="s">
        <v>4</v>
      </c>
      <c r="I49" s="244" t="s">
        <v>20</v>
      </c>
      <c r="J49" s="244" t="s">
        <v>20</v>
      </c>
      <c r="K49" s="268" t="s">
        <v>60</v>
      </c>
      <c r="L49" s="193" t="str">
        <f t="shared" ca="1" si="8"/>
        <v>Upcoming</v>
      </c>
      <c r="N49" s="339" t="s">
        <v>85</v>
      </c>
      <c r="O49" s="340">
        <v>2033</v>
      </c>
      <c r="P49" s="341">
        <f>192 + 10</f>
        <v>202</v>
      </c>
    </row>
    <row r="50" spans="2:16">
      <c r="B50" s="102"/>
      <c r="C50" s="165" t="str">
        <f t="shared" ref="C50:C51" si="18">IF(ISNUMBER(FIND("?", B50, 1)), "TBD", TEXT(B50, "ddd"))</f>
        <v>Sat</v>
      </c>
      <c r="D50" s="157"/>
      <c r="E50" s="157"/>
      <c r="F50" s="220">
        <f t="shared" ref="F50:F51" si="19">((E50 - D50) * 24)</f>
        <v>0</v>
      </c>
      <c r="G50" s="217">
        <f t="shared" ref="G50:G51" si="20">IF(F50 &gt; 4, (F50 - 1), F50)</f>
        <v>0</v>
      </c>
      <c r="H50" s="180"/>
      <c r="I50" s="197" t="s">
        <v>66</v>
      </c>
      <c r="J50" s="197" t="s">
        <v>66</v>
      </c>
      <c r="K50" s="205"/>
      <c r="L50" s="252" t="str">
        <f t="shared" ref="L50:L51" ca="1" si="21">IF(C50 = "TBD", "TBD", IF(B50 = "", "IDK!!", IF(TODAY() &gt; B50, "Passed", IF(TODAY() = B50, "Today!!", "Upcoming"))))</f>
        <v>IDK!!</v>
      </c>
    </row>
    <row r="51" spans="2:16" ht="15.75" thickBot="1">
      <c r="B51" s="259"/>
      <c r="C51" s="253" t="str">
        <f t="shared" si="18"/>
        <v>Sat</v>
      </c>
      <c r="D51" s="260"/>
      <c r="E51" s="260"/>
      <c r="F51" s="261">
        <f t="shared" si="19"/>
        <v>0</v>
      </c>
      <c r="G51" s="253">
        <f t="shared" si="20"/>
        <v>0</v>
      </c>
      <c r="H51" s="254"/>
      <c r="I51" s="202" t="s">
        <v>66</v>
      </c>
      <c r="J51" s="202" t="s">
        <v>66</v>
      </c>
      <c r="K51" s="255"/>
      <c r="L51" s="251" t="str">
        <f t="shared" ca="1" si="21"/>
        <v>IDK!!</v>
      </c>
    </row>
    <row r="52" spans="2:16" ht="15.75" thickBot="1">
      <c r="B52" s="86" t="s">
        <v>11</v>
      </c>
      <c r="C52" s="303"/>
      <c r="D52" s="304"/>
      <c r="E52" s="305"/>
      <c r="F52" s="228">
        <f>SUM(F14:F51)</f>
        <v>187.5</v>
      </c>
      <c r="G52" s="256">
        <f>SUM(G14:G51)</f>
        <v>164.5</v>
      </c>
      <c r="H52" s="301"/>
      <c r="I52" s="302"/>
      <c r="J52" s="302"/>
      <c r="K52" s="302"/>
      <c r="L52" s="302"/>
    </row>
  </sheetData>
  <autoFilter ref="B13:K52" xr:uid="{4B51B8F7-4ACE-45CA-965B-2AD2897F333A}"/>
  <phoneticPr fontId="5" type="noConversion"/>
  <conditionalFormatting sqref="B14:L51">
    <cfRule type="expression" dxfId="12" priority="6">
      <formula>$L14="Passed"</formula>
    </cfRule>
  </conditionalFormatting>
  <conditionalFormatting sqref="C14:F51 L14:L51">
    <cfRule type="cellIs" dxfId="11" priority="7" operator="equal">
      <formula>"TBD"</formula>
    </cfRule>
  </conditionalFormatting>
  <conditionalFormatting sqref="I14:J51">
    <cfRule type="cellIs" dxfId="10" priority="5" operator="equal">
      <formula>"N/A"</formula>
    </cfRule>
    <cfRule type="cellIs" dxfId="9" priority="9" operator="equal">
      <formula>"No"</formula>
    </cfRule>
  </conditionalFormatting>
  <conditionalFormatting sqref="E3 E5 E8:E9">
    <cfRule type="cellIs" dxfId="8" priority="3" operator="greaterThan">
      <formula>0</formula>
    </cfRule>
  </conditionalFormatting>
  <conditionalFormatting sqref="E3 E5 E8:E9">
    <cfRule type="cellIs" dxfId="7" priority="2" operator="lessThan">
      <formula>0</formula>
    </cfRule>
  </conditionalFormatting>
  <conditionalFormatting sqref="E3 E5 E8:E9">
    <cfRule type="cellIs" dxfId="0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46" priority="2" operator="equal">
      <formula>"TBD"</formula>
    </cfRule>
  </conditionalFormatting>
  <conditionalFormatting sqref="E3 E5">
    <cfRule type="cellIs" dxfId="45" priority="7" operator="greaterThan">
      <formula>0</formula>
    </cfRule>
  </conditionalFormatting>
  <conditionalFormatting sqref="E3 E5:E11">
    <cfRule type="cellIs" dxfId="44" priority="9" operator="lessThanOrEqual">
      <formula>0</formula>
    </cfRule>
  </conditionalFormatting>
  <conditionalFormatting sqref="F14:F43">
    <cfRule type="cellIs" dxfId="43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42" priority="1">
      <formula>$K14="Passed"</formula>
    </cfRule>
  </conditionalFormatting>
  <conditionalFormatting sqref="C14:F47 K14:K47">
    <cfRule type="cellIs" dxfId="41" priority="3" operator="equal">
      <formula>"TBD"</formula>
    </cfRule>
  </conditionalFormatting>
  <conditionalFormatting sqref="E3 E5">
    <cfRule type="cellIs" dxfId="40" priority="4" operator="greaterThan">
      <formula>0</formula>
    </cfRule>
  </conditionalFormatting>
  <conditionalFormatting sqref="E3 E5:E11">
    <cfRule type="cellIs" dxfId="39" priority="6" operator="lessThanOrEqual">
      <formula>0</formula>
    </cfRule>
  </conditionalFormatting>
  <conditionalFormatting sqref="I14:I47">
    <cfRule type="cellIs" dxfId="38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37" priority="13" operator="greaterThan">
      <formula>0</formula>
    </cfRule>
  </conditionalFormatting>
  <conditionalFormatting sqref="E3:E10">
    <cfRule type="cellIs" dxfId="36" priority="15" operator="lessThanOrEqual">
      <formula>0</formula>
    </cfRule>
  </conditionalFormatting>
  <conditionalFormatting sqref="E13:E42">
    <cfRule type="cellIs" dxfId="35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34" priority="3" operator="greaterThan">
      <formula>0</formula>
    </cfRule>
  </conditionalFormatting>
  <conditionalFormatting sqref="E3 E5:E11">
    <cfRule type="cellIs" dxfId="33" priority="5" operator="lessThanOrEqual">
      <formula>0</formula>
    </cfRule>
  </conditionalFormatting>
  <conditionalFormatting sqref="E14:E15">
    <cfRule type="cellIs" dxfId="32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2026-10-06T11:22:53Z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