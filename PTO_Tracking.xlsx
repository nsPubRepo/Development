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B0AC0164-556E-4506-A254-2CD0946CC10E}" xr6:coauthVersionLast="47" xr6:coauthVersionMax="47" xr10:uidLastSave="{00000000-0000-0000-0000-000000000000}"/>
  <bookViews>
    <workbookView xWindow="4155" yWindow="0" windowWidth="24360" windowHeight="20985" xr2:uid="{27E0B3AA-74C4-485B-A59F-76780996FF82}"/>
  </bookViews>
  <sheets>
    <sheet name="2026" sheetId="7" r:id="rId1"/>
    <sheet name="2025_Original" sheetId="5" state="hidden" r:id="rId2"/>
    <sheet name="2025" sheetId="6" r:id="rId3"/>
    <sheet name="2024" sheetId="1" r:id="rId4"/>
    <sheet name="Template" sheetId="2" r:id="rId5"/>
  </sheets>
  <definedNames>
    <definedName name="_xlnm._FilterDatabase" localSheetId="3" hidden="1">'2024'!$B$12:$G$43</definedName>
    <definedName name="_xlnm._FilterDatabase" localSheetId="2" hidden="1">'2025'!$B$13:$K$48</definedName>
    <definedName name="_xlnm._FilterDatabase" localSheetId="1" hidden="1">'2025_Original'!$B$13:$H$44</definedName>
    <definedName name="_xlnm._FilterDatabase" localSheetId="0" hidden="1">'2026'!$B$13:$K$39</definedName>
    <definedName name="_xlnm._FilterDatabase" localSheetId="4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7" l="1"/>
  <c r="G29" i="7" s="1"/>
  <c r="C29" i="7"/>
  <c r="K29" i="7" s="1"/>
  <c r="C16" i="7"/>
  <c r="K16" i="7" s="1"/>
  <c r="F16" i="7"/>
  <c r="G16" i="7" s="1"/>
  <c r="F15" i="7"/>
  <c r="G15" i="7" s="1"/>
  <c r="C15" i="7"/>
  <c r="K15" i="7" s="1"/>
  <c r="C17" i="7"/>
  <c r="F17" i="7"/>
  <c r="G17" i="7" s="1"/>
  <c r="C18" i="7"/>
  <c r="F18" i="7"/>
  <c r="G18" i="7" s="1"/>
  <c r="C19" i="7"/>
  <c r="F19" i="7"/>
  <c r="G19" i="7" s="1"/>
  <c r="C20" i="7"/>
  <c r="F20" i="7"/>
  <c r="G20" i="7" s="1"/>
  <c r="C21" i="7"/>
  <c r="F21" i="7"/>
  <c r="G21" i="7"/>
  <c r="C22" i="7"/>
  <c r="F22" i="7"/>
  <c r="G22" i="7" s="1"/>
  <c r="C23" i="7"/>
  <c r="F23" i="7"/>
  <c r="G23" i="7" s="1"/>
  <c r="C24" i="7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30" i="7"/>
  <c r="F30" i="7"/>
  <c r="G30" i="7"/>
  <c r="C31" i="7"/>
  <c r="F31" i="7"/>
  <c r="G31" i="7" s="1"/>
  <c r="C32" i="7"/>
  <c r="F32" i="7"/>
  <c r="G32" i="7"/>
  <c r="C33" i="7"/>
  <c r="F33" i="7"/>
  <c r="G33" i="7" s="1"/>
  <c r="C34" i="7"/>
  <c r="F34" i="7"/>
  <c r="G34" i="7" s="1"/>
  <c r="C35" i="7"/>
  <c r="F35" i="7"/>
  <c r="G35" i="7"/>
  <c r="C36" i="7"/>
  <c r="F36" i="7"/>
  <c r="G36" i="7" s="1"/>
  <c r="C37" i="7"/>
  <c r="F37" i="7"/>
  <c r="G37" i="7" s="1"/>
  <c r="C38" i="7"/>
  <c r="F38" i="7"/>
  <c r="G38" i="7" s="1"/>
  <c r="F14" i="7" l="1"/>
  <c r="C14" i="7"/>
  <c r="K14" i="7" s="1"/>
  <c r="K30" i="7"/>
  <c r="K17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G14" i="7" l="1"/>
  <c r="F39" i="7"/>
  <c r="E10" i="7"/>
  <c r="E11" i="7" s="1"/>
  <c r="K18" i="7"/>
  <c r="K33" i="7"/>
  <c r="K35" i="7"/>
  <c r="K36" i="7"/>
  <c r="K34" i="7"/>
  <c r="K32" i="7"/>
  <c r="K31" i="7"/>
  <c r="K21" i="7"/>
  <c r="K22" i="7"/>
  <c r="K23" i="7"/>
  <c r="K24" i="7"/>
  <c r="K25" i="7"/>
  <c r="K26" i="7"/>
  <c r="K27" i="7"/>
  <c r="K28" i="7"/>
  <c r="K20" i="7"/>
  <c r="K19" i="7"/>
  <c r="K38" i="7"/>
  <c r="K37" i="7"/>
  <c r="C11" i="7"/>
  <c r="C9" i="7"/>
  <c r="C7" i="7"/>
  <c r="J3" i="7" a="1"/>
  <c r="J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8" i="7" l="1"/>
  <c r="G39" i="7"/>
  <c r="D10" i="7"/>
  <c r="D11" i="7" s="1"/>
  <c r="E6" i="7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E5" i="7" l="1"/>
  <c r="C5" i="7"/>
  <c r="D3" i="6"/>
  <c r="D5" i="6" s="1"/>
  <c r="D3" i="7" l="1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10" i="5" l="1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<sst xmlns="http://schemas.openxmlformats.org/spreadsheetml/2006/main" count="467" uniqueCount="73">
  <si>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</si>
  <si>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</si>
  <si>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</si>
  <si>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</si>
  <si>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</si>
  <si>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</si>
  <si>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</si>
  <si>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</si>
  <si>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</si>
  <si>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</si>
  <si>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</si>
  <si>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</si>
  <si>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</si>
  <si>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</si>
  <si>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</si>
  <si>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</si>
  <si>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</si>
  <si>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</si>
  <si>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</si>
  <si>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</si>
  <si>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</si>
  <si>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</si>
  <si>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</si>
  <si>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</si>
  <si>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</si>
  <si>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</si>
  <si>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</si>
  <si>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</si>
  <si>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</si>
  <si>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</si>
  <si>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</si>
  <si>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</si>
  <si>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</si>
  <si>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</si>
  <si>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</si>
  <si>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</si>
  <si>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</si>
  <si>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</si>
  <si>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</si>
  <si>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</si>
  <si>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</si>
  <si>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</si>
  <si>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</si>
  <si>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</si>
  <si>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</si>
  <si>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</si>
  <si>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</si>
  <si>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</si>
  <si>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</si>
  <si>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</si>
  <si>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</si>
  <si>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</si>
  <si>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</si>
  <si>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</si>
  <si>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</si>
  <si>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</si>
  <si>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</si>
  <si>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</si>
  <si>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</si>
  <si>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</si>
  <si>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</si>
  <si>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Splash Village (???)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</si>
  <si>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</si>
  <si>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</si>
  <si>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</si>
  <si>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</si>
  <si>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</si>
  <si>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</si>
  <si>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</si>
  <si>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</si>
  <si>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</si>
  <si>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</si>
  <si>
    <t>Kids' first day of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</si>
</sst>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5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24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18" fontId="0" fillId="11" borderId="14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0" fontId="0" fillId="11" borderId="64" xfId="0" applyFill="1" applyBorder="1" applyAlignment="1">
      <alignment horizontal="center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165" fontId="0" fillId="10" borderId="23" xfId="0" applyNumberFormat="1" applyFill="1" applyBorder="1" applyAlignment="1">
      <alignment horizontal="center"/>
    </xf>
    <xf numFmtId="0" fontId="0" fillId="10" borderId="19" xfId="0" applyFill="1" applyBorder="1" applyAlignment="1">
      <alignment horizontal="center"/>
    </xf>
    <xf numFmtId="18" fontId="0" fillId="10" borderId="10" xfId="0" applyNumberFormat="1" applyFill="1" applyBorder="1" applyAlignment="1">
      <alignment horizontal="center"/>
    </xf>
    <xf numFmtId="0" fontId="0" fillId="10" borderId="63" xfId="0" applyFill="1" applyBorder="1" applyAlignment="1">
      <alignment horizontal="center"/>
    </xf>
    <xf numFmtId="0" fontId="0" fillId="10" borderId="54" xfId="0" applyFill="1" applyBorder="1" applyAlignment="1">
      <alignment horizontal="center"/>
    </xf>
    <xf numFmtId="0" fontId="0" fillId="10" borderId="1" xfId="0" applyFill="1" applyBorder="1" applyAlignment="1">
      <alignment horizontal="center" wrapText="1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</cellXfs>
  <cellStyles count="1">
    <cellStyle name="Normal" xfId="0" builtinId="0"/>
  </cellStyles>
  <dxfs count="21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103561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446143</xdr:colOff>
      <xdr:row>28</xdr:row>
      <xdr:rowOff>39711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725774" y="2248460"/>
          <a:ext cx="5132445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41</xdr:row>
      <xdr:rowOff>100853</xdr:rowOff>
    </xdr:from>
    <xdr:to>
      <xdr:col>26</xdr:col>
      <xdr:colOff>458322</xdr:colOff>
      <xdr:row>61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K39"/>
  <sheetViews>
    <sheetView tabSelected="1"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57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168.5</v>
      </c>
      <c r="D3" s="3">
        <f ca="1">C3-E3</f>
        <v>148</v>
      </c>
      <c r="E3" s="1">
        <f ca="1">C3 - C6 - SUMIF(H14:H38, "PTO", G14:G38)</f>
        <v>20.5</v>
      </c>
      <c r="J3" s="56" t="str" cm="1">
        <f t="array" aca="1" ref="J3" ca="1">"PTO Reset: 02/12/" &amp; (RIGHT(CELL("filename",A2),LEN(CELL("filename",A2))-SEARCH("]",CELL("filename",A2)))) + 1</f>
        <v>PTO Reset: 02/12/2027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1" ht="15.75" thickBot="1">
      <c r="B5" s="6" t="s">
        <v>5</v>
      </c>
      <c r="C5" s="7">
        <f ca="1">C3/8</f>
        <v>21.0625</v>
      </c>
      <c r="D5" s="7">
        <f ca="1">D3/8</f>
        <v>18.5</v>
      </c>
      <c r="E5" s="8">
        <f ca="1">E3/8</f>
        <v>2.5625</v>
      </c>
    </row>
    <row r="6" spans="2:11">
      <c r="B6" s="9" t="s">
        <v>15</v>
      </c>
      <c r="C6" s="10">
        <v>40</v>
      </c>
      <c r="D6" s="10">
        <f>C6-E6</f>
        <v>0</v>
      </c>
      <c r="E6" s="11">
        <f>C6 - SUMIF(H14:H38, "Sick", G14:G38)</f>
        <v>40</v>
      </c>
    </row>
    <row r="7" spans="2:11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1">
      <c r="B8" s="5" t="s">
        <v>7</v>
      </c>
      <c r="C8" s="2">
        <v>16</v>
      </c>
      <c r="D8" s="2">
        <f>C8-E8</f>
        <v>12.999999999999996</v>
      </c>
      <c r="E8" s="1">
        <f>C8 - SUMIF(H14:H38, "Be You", G14:G38)</f>
        <v>3.0000000000000036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1.6249999999999996</v>
      </c>
      <c r="E9" s="15">
        <f>E8/8</f>
        <v>0.37500000000000044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SUMIF(H14:H38, "Volunteer", G14:G38)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>
      <c r="B14" s="122">
        <v>46059</v>
      </c>
      <c r="C14" s="240" t="str">
        <f t="shared" ref="C14:C20" si="0">IF(ISNUMBER(FIND("?", B14, 1)), "TBD", TEXT(B14, "ddd"))</f>
        <v>Fri</v>
      </c>
      <c r="D14" s="241">
        <v>0.45833333333333331</v>
      </c>
      <c r="E14" s="241">
        <v>0.66666666666666663</v>
      </c>
      <c r="F14" s="257">
        <f>((E14 - D14) * 24)</f>
        <v>5</v>
      </c>
      <c r="G14" s="240">
        <f t="shared" ref="G14:G20" si="1">IF(F14 &gt; 4, (F14 - 1), F14)</f>
        <v>4</v>
      </c>
      <c r="H14" s="242" t="s">
        <v>10</v>
      </c>
      <c r="I14" s="196" t="s">
        <v>20</v>
      </c>
      <c r="J14" s="243" t="s">
        <v>68</v>
      </c>
      <c r="K14" s="42" t="str">
        <f t="shared" ref="K14:K20" ca="1" si="2">IF(C14 = "TBD", "TBD", IF(B14 = "", "IDK!!", IF(TODAY() &gt; B14, "Passed", IF(TODAY() = B14, "Today!!", "Upcoming"))))</f>
        <v>Passed</v>
      </c>
    </row>
    <row r="15" spans="2:11" ht="15.75" thickBot="1">
      <c r="B15" s="314">
        <v>46080</v>
      </c>
      <c r="C15" s="315" t="str">
        <f t="shared" si="0"/>
        <v>Fri</v>
      </c>
      <c r="D15" s="316">
        <v>0.29166666666666669</v>
      </c>
      <c r="E15" s="316">
        <v>0.66666666666666663</v>
      </c>
      <c r="F15" s="317">
        <f>((E15 - D15) * 24)</f>
        <v>8.9999999999999982</v>
      </c>
      <c r="G15" s="315">
        <f>IF(F15 &gt; 4, (F15 - 1), F15)</f>
        <v>7.9999999999999982</v>
      </c>
      <c r="H15" s="318" t="s">
        <v>69</v>
      </c>
      <c r="I15" s="244" t="s">
        <v>20</v>
      </c>
      <c r="J15" s="319" t="s">
        <v>70</v>
      </c>
      <c r="K15" s="60" t="str">
        <f t="shared" ca="1" si="2"/>
        <v>Passed</v>
      </c>
    </row>
    <row r="16" spans="2:11" ht="15.75" thickBot="1">
      <c r="B16" s="284">
        <v>46093</v>
      </c>
      <c r="C16" s="320" t="str">
        <f t="shared" ref="C16" si="3">IF(ISNUMBER(FIND("?", B16, 1)), "TBD", TEXT(B16, "ddd"))</f>
        <v>Thu</v>
      </c>
      <c r="D16" s="321">
        <v>0.625</v>
      </c>
      <c r="E16" s="321">
        <v>0.66666666666666663</v>
      </c>
      <c r="F16" s="322">
        <f>((E16 - D16) * 24)</f>
        <v>0.99999999999999911</v>
      </c>
      <c r="G16" s="320">
        <f>IF(F16 &gt; 4, (F16 - 1), F16)</f>
        <v>0.99999999999999911</v>
      </c>
      <c r="H16" s="323" t="s">
        <v>69</v>
      </c>
      <c r="I16" s="244" t="s">
        <v>20</v>
      </c>
      <c r="J16" s="290" t="s">
        <v>71</v>
      </c>
      <c r="K16" s="60" t="str">
        <f t="shared" ca="1" si="2"/>
        <v>Passed</v>
      </c>
    </row>
    <row r="17" spans="2:11" ht="15.75" thickBot="1">
      <c r="B17" s="112">
        <v>46164</v>
      </c>
      <c r="C17" s="264" t="str">
        <f t="shared" si="0"/>
        <v>Fri</v>
      </c>
      <c r="D17" s="293">
        <v>0.45833333333333331</v>
      </c>
      <c r="E17" s="293">
        <v>0.66666666666666663</v>
      </c>
      <c r="F17" s="294">
        <f t="shared" ref="F17:F20" si="4">((E17 - D17) * 24)</f>
        <v>5</v>
      </c>
      <c r="G17" s="292">
        <f t="shared" si="1"/>
        <v>4</v>
      </c>
      <c r="H17" s="265" t="s">
        <v>4</v>
      </c>
      <c r="I17" s="196" t="s">
        <v>20</v>
      </c>
      <c r="J17" s="266" t="s">
        <v>42</v>
      </c>
      <c r="K17" s="47" t="str">
        <f t="shared" ca="1" si="2"/>
        <v>Upcoming</v>
      </c>
    </row>
    <row r="18" spans="2:11" ht="15.75" thickBot="1">
      <c r="B18" s="279">
        <v>46213</v>
      </c>
      <c r="C18" s="217" t="str">
        <f t="shared" si="0"/>
        <v>Fri</v>
      </c>
      <c r="D18" s="280">
        <v>0.29166666666666669</v>
      </c>
      <c r="E18" s="280">
        <v>0.66666666666666663</v>
      </c>
      <c r="F18" s="283">
        <f t="shared" si="4"/>
        <v>8.9999999999999982</v>
      </c>
      <c r="G18" s="165">
        <f t="shared" si="1"/>
        <v>7.9999999999999982</v>
      </c>
      <c r="H18" s="281" t="s">
        <v>4</v>
      </c>
      <c r="I18" s="196" t="s">
        <v>28</v>
      </c>
      <c r="J18" s="282" t="s">
        <v>61</v>
      </c>
      <c r="K18" s="47" t="str">
        <f t="shared" ca="1" si="2"/>
        <v>Upcoming</v>
      </c>
    </row>
    <row r="19" spans="2:11" ht="15.75" thickBot="1">
      <c r="B19" s="122">
        <v>46237</v>
      </c>
      <c r="C19" s="240" t="str">
        <f t="shared" si="0"/>
        <v>Mon</v>
      </c>
      <c r="D19" s="241">
        <v>0.45833333333333331</v>
      </c>
      <c r="E19" s="241">
        <v>0.66666666666666663</v>
      </c>
      <c r="F19" s="257">
        <f t="shared" si="4"/>
        <v>5</v>
      </c>
      <c r="G19" s="240">
        <f t="shared" si="1"/>
        <v>4</v>
      </c>
      <c r="H19" s="242" t="s">
        <v>4</v>
      </c>
      <c r="I19" s="196" t="s">
        <v>20</v>
      </c>
      <c r="J19" s="243" t="s">
        <v>59</v>
      </c>
      <c r="K19" s="252" t="str">
        <f t="shared" ca="1" si="2"/>
        <v>Upcoming</v>
      </c>
    </row>
    <row r="20" spans="2:11" ht="15.75" thickBot="1">
      <c r="B20" s="123">
        <v>46238</v>
      </c>
      <c r="C20" s="245" t="str">
        <f t="shared" si="0"/>
        <v>Tue</v>
      </c>
      <c r="D20" s="246">
        <v>0.45833333333333331</v>
      </c>
      <c r="E20" s="246">
        <v>0.66666666666666663</v>
      </c>
      <c r="F20" s="258">
        <f t="shared" si="4"/>
        <v>5</v>
      </c>
      <c r="G20" s="245">
        <f t="shared" si="1"/>
        <v>4</v>
      </c>
      <c r="H20" s="247" t="s">
        <v>4</v>
      </c>
      <c r="I20" s="199" t="s">
        <v>20</v>
      </c>
      <c r="J20" s="248" t="s">
        <v>59</v>
      </c>
      <c r="K20" s="59" t="str">
        <f t="shared" ca="1" si="2"/>
        <v>Upcoming</v>
      </c>
    </row>
    <row r="21" spans="2:11" ht="15.75" thickBot="1">
      <c r="B21" s="249">
        <v>46239</v>
      </c>
      <c r="C21" s="245" t="str">
        <f t="shared" ref="C21:C36" si="5">IF(ISNUMBER(FIND("?", B21, 1)), "TBD", TEXT(B21, "ddd"))</f>
        <v>Wed</v>
      </c>
      <c r="D21" s="246">
        <v>0.45833333333333331</v>
      </c>
      <c r="E21" s="246">
        <v>0.66666666666666663</v>
      </c>
      <c r="F21" s="258">
        <f t="shared" ref="F21:F33" si="6">((E21 - D21) * 24)</f>
        <v>5</v>
      </c>
      <c r="G21" s="245">
        <f t="shared" ref="G21:G36" si="7">IF(F21 &gt; 4, (F21 - 1), F21)</f>
        <v>4</v>
      </c>
      <c r="H21" s="247" t="s">
        <v>4</v>
      </c>
      <c r="I21" s="199" t="s">
        <v>20</v>
      </c>
      <c r="J21" s="248" t="s">
        <v>59</v>
      </c>
      <c r="K21" s="59" t="str">
        <f t="shared" ref="K21:K36" ca="1" si="8">IF(C21 = "TBD", "TBD", IF(B21 = "", "IDK!!", IF(TODAY() &gt; B21, "Passed", IF(TODAY() = B21, "Today!!", "Upcoming"))))</f>
        <v>Upcoming</v>
      </c>
    </row>
    <row r="22" spans="2:11" ht="15.75" thickBot="1">
      <c r="B22" s="249">
        <v>46240</v>
      </c>
      <c r="C22" s="245" t="str">
        <f t="shared" si="5"/>
        <v>Thu</v>
      </c>
      <c r="D22" s="246">
        <v>0.45833333333333331</v>
      </c>
      <c r="E22" s="246">
        <v>0.66666666666666663</v>
      </c>
      <c r="F22" s="258">
        <f t="shared" si="6"/>
        <v>5</v>
      </c>
      <c r="G22" s="245">
        <f t="shared" si="7"/>
        <v>4</v>
      </c>
      <c r="H22" s="247" t="s">
        <v>4</v>
      </c>
      <c r="I22" s="199" t="s">
        <v>20</v>
      </c>
      <c r="J22" s="248" t="s">
        <v>59</v>
      </c>
      <c r="K22" s="59" t="str">
        <f t="shared" ca="1" si="8"/>
        <v>Upcoming</v>
      </c>
    </row>
    <row r="23" spans="2:11" ht="15.75" thickBot="1">
      <c r="B23" s="249">
        <v>46241</v>
      </c>
      <c r="C23" s="245" t="str">
        <f t="shared" si="5"/>
        <v>Fri</v>
      </c>
      <c r="D23" s="246">
        <v>0.45833333333333331</v>
      </c>
      <c r="E23" s="246">
        <v>0.66666666666666663</v>
      </c>
      <c r="F23" s="258">
        <f t="shared" si="6"/>
        <v>5</v>
      </c>
      <c r="G23" s="245">
        <f t="shared" si="7"/>
        <v>4</v>
      </c>
      <c r="H23" s="247" t="s">
        <v>4</v>
      </c>
      <c r="I23" s="199" t="s">
        <v>20</v>
      </c>
      <c r="J23" s="248" t="s">
        <v>59</v>
      </c>
      <c r="K23" s="59" t="str">
        <f t="shared" ca="1" si="8"/>
        <v>Upcoming</v>
      </c>
    </row>
    <row r="24" spans="2:11" ht="15.75" thickBot="1">
      <c r="B24" s="249">
        <v>46244</v>
      </c>
      <c r="C24" s="245" t="str">
        <f t="shared" si="5"/>
        <v>Mon</v>
      </c>
      <c r="D24" s="246">
        <v>0.45833333333333331</v>
      </c>
      <c r="E24" s="246">
        <v>0.66666666666666663</v>
      </c>
      <c r="F24" s="258">
        <f t="shared" si="6"/>
        <v>5</v>
      </c>
      <c r="G24" s="245">
        <f t="shared" si="7"/>
        <v>4</v>
      </c>
      <c r="H24" s="247" t="s">
        <v>4</v>
      </c>
      <c r="I24" s="199" t="s">
        <v>20</v>
      </c>
      <c r="J24" s="248" t="s">
        <v>39</v>
      </c>
      <c r="K24" s="59" t="str">
        <f t="shared" ca="1" si="8"/>
        <v>Upcoming</v>
      </c>
    </row>
    <row r="25" spans="2:11" ht="15.75" thickBot="1">
      <c r="B25" s="249">
        <v>46245</v>
      </c>
      <c r="C25" s="245" t="str">
        <f t="shared" si="5"/>
        <v>Tue</v>
      </c>
      <c r="D25" s="246">
        <v>0.45833333333333331</v>
      </c>
      <c r="E25" s="246">
        <v>0.66666666666666663</v>
      </c>
      <c r="F25" s="258">
        <f t="shared" si="6"/>
        <v>5</v>
      </c>
      <c r="G25" s="245">
        <f t="shared" si="7"/>
        <v>4</v>
      </c>
      <c r="H25" s="247" t="s">
        <v>4</v>
      </c>
      <c r="I25" s="199" t="s">
        <v>20</v>
      </c>
      <c r="J25" s="248" t="s">
        <v>39</v>
      </c>
      <c r="K25" s="59" t="str">
        <f t="shared" ca="1" si="8"/>
        <v>Upcoming</v>
      </c>
    </row>
    <row r="26" spans="2:11" ht="15.75" thickBot="1">
      <c r="B26" s="249">
        <v>46246</v>
      </c>
      <c r="C26" s="245" t="str">
        <f t="shared" si="5"/>
        <v>Wed</v>
      </c>
      <c r="D26" s="246">
        <v>0.45833333333333331</v>
      </c>
      <c r="E26" s="246">
        <v>0.66666666666666663</v>
      </c>
      <c r="F26" s="258">
        <f t="shared" si="6"/>
        <v>5</v>
      </c>
      <c r="G26" s="245">
        <f t="shared" si="7"/>
        <v>4</v>
      </c>
      <c r="H26" s="247" t="s">
        <v>4</v>
      </c>
      <c r="I26" s="199" t="s">
        <v>20</v>
      </c>
      <c r="J26" s="248" t="s">
        <v>39</v>
      </c>
      <c r="K26" s="59" t="str">
        <f t="shared" ca="1" si="8"/>
        <v>Upcoming</v>
      </c>
    </row>
    <row r="27" spans="2:11" ht="15.75" thickBot="1">
      <c r="B27" s="250">
        <v>46247</v>
      </c>
      <c r="C27" s="245" t="str">
        <f t="shared" si="5"/>
        <v>Thu</v>
      </c>
      <c r="D27" s="246">
        <v>0.45833333333333331</v>
      </c>
      <c r="E27" s="246">
        <v>0.66666666666666663</v>
      </c>
      <c r="F27" s="258">
        <f t="shared" si="6"/>
        <v>5</v>
      </c>
      <c r="G27" s="245">
        <f t="shared" si="7"/>
        <v>4</v>
      </c>
      <c r="H27" s="247" t="s">
        <v>4</v>
      </c>
      <c r="I27" s="199" t="s">
        <v>20</v>
      </c>
      <c r="J27" s="248" t="s">
        <v>39</v>
      </c>
      <c r="K27" s="59" t="str">
        <f t="shared" ca="1" si="8"/>
        <v>Upcoming</v>
      </c>
    </row>
    <row r="28" spans="2:11">
      <c r="B28" s="250">
        <v>46248</v>
      </c>
      <c r="C28" s="245" t="str">
        <f t="shared" si="5"/>
        <v>Fri</v>
      </c>
      <c r="D28" s="246">
        <v>0.45833333333333331</v>
      </c>
      <c r="E28" s="246">
        <v>0.66666666666666663</v>
      </c>
      <c r="F28" s="258">
        <f t="shared" si="6"/>
        <v>5</v>
      </c>
      <c r="G28" s="245">
        <f t="shared" si="7"/>
        <v>4</v>
      </c>
      <c r="H28" s="247" t="s">
        <v>4</v>
      </c>
      <c r="I28" s="199" t="s">
        <v>20</v>
      </c>
      <c r="J28" s="248" t="s">
        <v>39</v>
      </c>
      <c r="K28" s="59" t="str">
        <f t="shared" ca="1" si="8"/>
        <v>Upcoming</v>
      </c>
    </row>
    <row r="29" spans="2:11" ht="15.75" thickBot="1">
      <c r="B29" s="250">
        <v>46253</v>
      </c>
      <c r="C29" s="245" t="str">
        <f t="shared" si="5"/>
        <v>Wed</v>
      </c>
      <c r="D29" s="246">
        <v>0.29166666666666669</v>
      </c>
      <c r="E29" s="246">
        <v>0.5</v>
      </c>
      <c r="F29" s="258">
        <f t="shared" si="6"/>
        <v>5</v>
      </c>
      <c r="G29" s="245">
        <f t="shared" si="7"/>
        <v>4</v>
      </c>
      <c r="H29" s="247" t="s">
        <v>4</v>
      </c>
      <c r="I29" s="199" t="s">
        <v>20</v>
      </c>
      <c r="J29" s="248" t="s">
        <v>72</v>
      </c>
      <c r="K29" s="59" t="str">
        <f t="shared" ca="1" si="8"/>
        <v>Upcoming</v>
      </c>
    </row>
    <row r="30" spans="2:11" ht="15.75" thickBot="1">
      <c r="B30" s="303">
        <v>46269</v>
      </c>
      <c r="C30" s="304" t="str">
        <f t="shared" ref="C30" si="9">IF(ISNUMBER(FIND("?", B30, 1)), "TBD", TEXT(B30, "ddd"))</f>
        <v>Fri</v>
      </c>
      <c r="D30" s="305">
        <v>0.45833333333333331</v>
      </c>
      <c r="E30" s="305">
        <v>0.66666666666666663</v>
      </c>
      <c r="F30" s="306">
        <f t="shared" ref="F30" si="10">((E30 - D30) * 24)</f>
        <v>5</v>
      </c>
      <c r="G30" s="304">
        <f t="shared" ref="G30" si="11">IF(F30 &gt; 4, (F30 - 1), F30)</f>
        <v>4</v>
      </c>
      <c r="H30" s="307" t="s">
        <v>4</v>
      </c>
      <c r="I30" s="200" t="s">
        <v>20</v>
      </c>
      <c r="J30" s="308" t="s">
        <v>24</v>
      </c>
      <c r="K30" s="192" t="str">
        <f t="shared" ref="K30" ca="1" si="12">IF(C30 = "TBD", "TBD", IF(B30 = "", "IDK!!", IF(TODAY() &gt; B30, "Passed", IF(TODAY() = B30, "Today!!", "Upcoming"))))</f>
        <v>Upcoming</v>
      </c>
    </row>
    <row r="31" spans="2:11" ht="15.75" thickBot="1">
      <c r="B31" s="124">
        <v>46353</v>
      </c>
      <c r="C31" s="173" t="str">
        <f t="shared" si="5"/>
        <v>Fri</v>
      </c>
      <c r="D31" s="155">
        <v>0.29166666666666669</v>
      </c>
      <c r="E31" s="155">
        <v>0.66666666666666663</v>
      </c>
      <c r="F31" s="226">
        <f t="shared" si="6"/>
        <v>8.9999999999999982</v>
      </c>
      <c r="G31" s="173">
        <f t="shared" si="7"/>
        <v>7.9999999999999982</v>
      </c>
      <c r="H31" s="188" t="s">
        <v>4</v>
      </c>
      <c r="I31" s="200" t="s">
        <v>20</v>
      </c>
      <c r="J31" s="269" t="s">
        <v>14</v>
      </c>
      <c r="K31" s="192" t="str">
        <f t="shared" ca="1" si="8"/>
        <v>Upcoming</v>
      </c>
    </row>
    <row r="32" spans="2:11" ht="15.75" thickBot="1">
      <c r="B32" s="112">
        <v>46380</v>
      </c>
      <c r="C32" s="264" t="str">
        <f t="shared" si="5"/>
        <v>Thu</v>
      </c>
      <c r="D32" s="262">
        <v>0.29166666666666669</v>
      </c>
      <c r="E32" s="262">
        <v>0.66666666666666663</v>
      </c>
      <c r="F32" s="263">
        <f t="shared" si="6"/>
        <v>8.9999999999999982</v>
      </c>
      <c r="G32" s="264">
        <f t="shared" si="7"/>
        <v>7.9999999999999982</v>
      </c>
      <c r="H32" s="265" t="s">
        <v>4</v>
      </c>
      <c r="I32" s="196" t="s">
        <v>20</v>
      </c>
      <c r="J32" s="266" t="s">
        <v>60</v>
      </c>
      <c r="K32" s="42" t="str">
        <f t="shared" ca="1" si="8"/>
        <v>Upcoming</v>
      </c>
    </row>
    <row r="33" spans="2:11" ht="15.75" thickBot="1">
      <c r="B33" s="120">
        <v>46384</v>
      </c>
      <c r="C33" s="274" t="str">
        <f t="shared" si="5"/>
        <v>Mon</v>
      </c>
      <c r="D33" s="275">
        <v>0.29166666666666669</v>
      </c>
      <c r="E33" s="275">
        <v>0.66666666666666663</v>
      </c>
      <c r="F33" s="276">
        <f t="shared" si="6"/>
        <v>8.9999999999999982</v>
      </c>
      <c r="G33" s="274">
        <f t="shared" si="7"/>
        <v>7.9999999999999982</v>
      </c>
      <c r="H33" s="277" t="s">
        <v>4</v>
      </c>
      <c r="I33" s="199" t="s">
        <v>20</v>
      </c>
      <c r="J33" s="278" t="s">
        <v>60</v>
      </c>
      <c r="K33" s="59" t="str">
        <f t="shared" ca="1" si="8"/>
        <v>Upcoming</v>
      </c>
    </row>
    <row r="34" spans="2:11" ht="15.75" thickBot="1">
      <c r="B34" s="270">
        <v>46385</v>
      </c>
      <c r="C34" s="271" t="str">
        <f t="shared" si="5"/>
        <v>Tue</v>
      </c>
      <c r="D34" s="275">
        <v>0.29166666666666669</v>
      </c>
      <c r="E34" s="275">
        <v>0.66666666666666663</v>
      </c>
      <c r="F34" s="276">
        <f t="shared" ref="F34:F36" si="13">((E34 - D34) * 24)</f>
        <v>8.9999999999999982</v>
      </c>
      <c r="G34" s="274">
        <f t="shared" si="7"/>
        <v>7.9999999999999982</v>
      </c>
      <c r="H34" s="272" t="s">
        <v>4</v>
      </c>
      <c r="I34" s="198" t="s">
        <v>20</v>
      </c>
      <c r="J34" s="273" t="s">
        <v>60</v>
      </c>
      <c r="K34" s="193" t="str">
        <f t="shared" ca="1" si="8"/>
        <v>Upcoming</v>
      </c>
    </row>
    <row r="35" spans="2:11">
      <c r="B35" s="270">
        <v>46386</v>
      </c>
      <c r="C35" s="271" t="str">
        <f t="shared" si="5"/>
        <v>Wed</v>
      </c>
      <c r="D35" s="275">
        <v>0.29166666666666669</v>
      </c>
      <c r="E35" s="275">
        <v>0.66666666666666663</v>
      </c>
      <c r="F35" s="276">
        <f t="shared" si="13"/>
        <v>8.9999999999999982</v>
      </c>
      <c r="G35" s="274">
        <f t="shared" si="7"/>
        <v>7.9999999999999982</v>
      </c>
      <c r="H35" s="272" t="s">
        <v>4</v>
      </c>
      <c r="I35" s="198" t="s">
        <v>20</v>
      </c>
      <c r="J35" s="273" t="s">
        <v>60</v>
      </c>
      <c r="K35" s="193" t="str">
        <f t="shared" ca="1" si="8"/>
        <v>Upcoming</v>
      </c>
    </row>
    <row r="36" spans="2:11" ht="15.75" thickBot="1">
      <c r="B36" s="113">
        <v>46387</v>
      </c>
      <c r="C36" s="271" t="str">
        <f t="shared" si="5"/>
        <v>Thu</v>
      </c>
      <c r="D36" s="275">
        <v>0.29166666666666669</v>
      </c>
      <c r="E36" s="275">
        <v>0.66666666666666663</v>
      </c>
      <c r="F36" s="276">
        <f t="shared" si="13"/>
        <v>8.9999999999999982</v>
      </c>
      <c r="G36" s="274">
        <f t="shared" si="7"/>
        <v>7.9999999999999982</v>
      </c>
      <c r="H36" s="267" t="s">
        <v>4</v>
      </c>
      <c r="I36" s="244" t="s">
        <v>20</v>
      </c>
      <c r="J36" s="268" t="s">
        <v>60</v>
      </c>
      <c r="K36" s="193" t="str">
        <f t="shared" ca="1" si="8"/>
        <v>Upcoming</v>
      </c>
    </row>
    <row r="37" spans="2:11">
      <c r="B37" s="102"/>
      <c r="C37" s="165" t="str">
        <f t="shared" ref="C37:C38" si="14">IF(ISNUMBER(FIND("?", B37, 1)), "TBD", TEXT(B37, "ddd"))</f>
        <v>Sat</v>
      </c>
      <c r="D37" s="157"/>
      <c r="E37" s="157"/>
      <c r="F37" s="220">
        <f t="shared" ref="F37:F38" si="15">((E37 - D37) * 24)</f>
        <v>0</v>
      </c>
      <c r="G37" s="217">
        <f t="shared" ref="G37:G38" si="16">IF(F37 &gt; 4, (F37 - 1), F37)</f>
        <v>0</v>
      </c>
      <c r="H37" s="180"/>
      <c r="I37" s="197" t="s">
        <v>67</v>
      </c>
      <c r="J37" s="205"/>
      <c r="K37" s="252" t="str">
        <f t="shared" ref="K37:K38" ca="1" si="17">IF(C37 = "TBD", "TBD", IF(B37 = "", "IDK!!", IF(TODAY() &gt; B37, "Passed", IF(TODAY() = B37, "Today!!", "Upcoming"))))</f>
        <v>IDK!!</v>
      </c>
    </row>
    <row r="38" spans="2:11" ht="15.75" thickBot="1">
      <c r="B38" s="259"/>
      <c r="C38" s="253" t="str">
        <f t="shared" si="14"/>
        <v>Sat</v>
      </c>
      <c r="D38" s="260"/>
      <c r="E38" s="260"/>
      <c r="F38" s="261">
        <f t="shared" si="15"/>
        <v>0</v>
      </c>
      <c r="G38" s="253">
        <f t="shared" si="16"/>
        <v>0</v>
      </c>
      <c r="H38" s="254"/>
      <c r="I38" s="202" t="s">
        <v>67</v>
      </c>
      <c r="J38" s="255"/>
      <c r="K38" s="251" t="str">
        <f t="shared" ca="1" si="17"/>
        <v>IDK!!</v>
      </c>
    </row>
    <row r="39" spans="2:11" ht="15.75" thickBot="1">
      <c r="B39" s="86" t="s">
        <v>11</v>
      </c>
      <c r="C39" s="311"/>
      <c r="D39" s="312"/>
      <c r="E39" s="313"/>
      <c r="F39" s="228">
        <f>SUM(F14:F38)</f>
        <v>143</v>
      </c>
      <c r="G39" s="256">
        <f>SUM(G14:G38)</f>
        <v>121</v>
      </c>
      <c r="H39" s="309"/>
      <c r="I39" s="310"/>
      <c r="J39" s="310"/>
      <c r="K39" s="310"/>
    </row>
  </sheetData>
  <autoFilter ref="B13:J39" xr:uid="{4B51B8F7-4ACE-45CA-965B-2AD2897F333A}"/>
  <conditionalFormatting sqref="B14:K38">
    <cfRule type="expression" dxfId="20" priority="2">
      <formula>$K14="Passed"</formula>
    </cfRule>
  </conditionalFormatting>
  <conditionalFormatting sqref="C14:F38 K14:K38">
    <cfRule type="cellIs" dxfId="19" priority="3" operator="equal">
      <formula>"TBD"</formula>
    </cfRule>
  </conditionalFormatting>
  <conditionalFormatting sqref="E3 E5">
    <cfRule type="cellIs" dxfId="18" priority="4" operator="greaterThan">
      <formula>0</formula>
    </cfRule>
  </conditionalFormatting>
  <conditionalFormatting sqref="E3 E5:E11">
    <cfRule type="cellIs" dxfId="17" priority="6" operator="lessThanOrEqual">
      <formula>0</formula>
    </cfRule>
  </conditionalFormatting>
  <conditionalFormatting sqref="I14:I38">
    <cfRule type="cellIs" dxfId="16" priority="1" operator="equal">
      <formula>"N/A"</formula>
    </cfRule>
    <cfRule type="cellIs" dxfId="15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63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63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65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84">
        <v>45936</v>
      </c>
      <c r="C37" s="285" t="str">
        <f t="shared" si="0"/>
        <v>Mon</v>
      </c>
      <c r="D37" s="286">
        <v>0.29166666666666669</v>
      </c>
      <c r="E37" s="286">
        <v>0.66666666666666663</v>
      </c>
      <c r="F37" s="287">
        <f t="shared" si="6"/>
        <v>8.9999999999999982</v>
      </c>
      <c r="G37" s="285">
        <f t="shared" si="7"/>
        <v>7.9999999999999982</v>
      </c>
      <c r="H37" s="288" t="s">
        <v>32</v>
      </c>
      <c r="I37" s="289" t="s">
        <v>20</v>
      </c>
      <c r="J37" s="290" t="s">
        <v>64</v>
      </c>
      <c r="K37" s="67" t="str">
        <f t="shared" ca="1" si="3"/>
        <v>Passed</v>
      </c>
    </row>
    <row r="38" spans="2:11" ht="15.75" thickBot="1">
      <c r="B38" s="291">
        <v>45989</v>
      </c>
      <c r="C38" s="292" t="str">
        <f t="shared" ref="C38" si="8">IF(ISNUMBER(FIND("?", B38, 1)), "TBD", TEXT(B38, "ddd"))</f>
        <v>Fri</v>
      </c>
      <c r="D38" s="293">
        <v>0.29166666666666669</v>
      </c>
      <c r="E38" s="293">
        <v>0.66666666666666663</v>
      </c>
      <c r="F38" s="294">
        <f>((E38 - D38) * 24)</f>
        <v>8.9999999999999982</v>
      </c>
      <c r="G38" s="292">
        <f>IF(F38 &gt; 4, (F38 - 1), F38)</f>
        <v>7.9999999999999982</v>
      </c>
      <c r="H38" s="295" t="s">
        <v>4</v>
      </c>
      <c r="I38" s="197" t="s">
        <v>20</v>
      </c>
      <c r="J38" s="296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297">
        <v>45999</v>
      </c>
      <c r="C39" s="298" t="str">
        <f t="shared" si="0"/>
        <v>Mon</v>
      </c>
      <c r="D39" s="299">
        <v>0.60416666666666663</v>
      </c>
      <c r="E39" s="299">
        <v>0.66666666666666663</v>
      </c>
      <c r="F39" s="300">
        <f>((E39 - D39) * 24)</f>
        <v>1.5</v>
      </c>
      <c r="G39" s="298">
        <f>IF(F39 &gt; 4, (F39 - 1), F39)</f>
        <v>1.5</v>
      </c>
      <c r="H39" s="301" t="s">
        <v>32</v>
      </c>
      <c r="I39" s="196" t="s">
        <v>20</v>
      </c>
      <c r="J39" s="302" t="s">
        <v>62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65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66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2026-03-23T11:18:59Z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