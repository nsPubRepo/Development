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Git_Repositories\PubDev\"/>
    </mc:Choice>
  </mc:AlternateContent>
  <xr:revisionPtr revIDLastSave="0" documentId="13_ncr:1_{E68BA7A1-0213-4E47-AC6B-2AC6EF289242}" xr6:coauthVersionLast="47" xr6:coauthVersionMax="47" xr10:uidLastSave="{00000000-0000-0000-0000-000000000000}"/>
  <bookViews>
    <workbookView xWindow="38520" yWindow="0" windowWidth="30435" windowHeight="21705" activeTab="1" xr2:uid="{27E0B3AA-74C4-485B-A59F-76780996FF82}"/>
  </bookViews>
  <sheets>
    <sheet name="2027" sheetId="8" r:id="rId1"/>
    <sheet name="2026" sheetId="7" r:id="rId2"/>
    <sheet name="2025_Original" sheetId="5" state="hidden" r:id="rId3"/>
    <sheet name="2025" sheetId="6" r:id="rId4"/>
    <sheet name="2024" sheetId="1" r:id="rId5"/>
    <sheet name="Template" sheetId="2" r:id="rId6"/>
  </sheets>
  <definedNames>
    <definedName name="_xlnm._FilterDatabase" localSheetId="4" hidden="1">'2024'!$B$12:$G$43</definedName>
    <definedName name="_xlnm._FilterDatabase" localSheetId="3" hidden="1">'2025'!$B$13:$K$48</definedName>
    <definedName name="_xlnm._FilterDatabase" localSheetId="2" hidden="1">'2025_Original'!$B$13:$H$44</definedName>
    <definedName name="_xlnm._FilterDatabase" localSheetId="1" hidden="1">'2026'!$B$13:$K$52</definedName>
    <definedName name="_xlnm._FilterDatabase" localSheetId="0" hidden="1">'2027'!$B$13:$L$20</definedName>
    <definedName name="_xlnm._FilterDatabase" localSheetId="5" hidden="1">Template!$B$13:$G$13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0" i="8" l="1"/>
  <c r="U43" i="8"/>
  <c r="K2" i="8" a="1"/>
  <c r="K2" i="8" s="1"/>
  <c r="K3" i="8" s="1"/>
  <c r="C3" i="8" l="1"/>
  <c r="K2" i="7" a="1"/>
  <c r="K2" i="7" s="1"/>
  <c r="C3" i="7" s="1"/>
  <c r="K3" i="7" l="1"/>
  <c r="C11" i="8"/>
  <c r="C9" i="8"/>
  <c r="C7" i="8"/>
  <c r="C11" i="7"/>
  <c r="C9" i="7"/>
  <c r="C7" i="7"/>
  <c r="F40" i="7"/>
  <c r="G40" i="7" s="1"/>
  <c r="F41" i="7"/>
  <c r="G41" i="7" s="1"/>
  <c r="C41" i="7"/>
  <c r="L41" i="7" s="1"/>
  <c r="C40" i="7"/>
  <c r="L40" i="7" s="1"/>
  <c r="F43" i="7"/>
  <c r="G43" i="7" s="1"/>
  <c r="C43" i="7"/>
  <c r="L43" i="7" s="1"/>
  <c r="C42" i="7"/>
  <c r="L42" i="7" s="1"/>
  <c r="F42" i="7" l="1"/>
  <c r="G42" i="7" s="1"/>
  <c r="F39" i="7"/>
  <c r="G39" i="7" s="1"/>
  <c r="C39" i="7"/>
  <c r="L39" i="7" s="1"/>
  <c r="F31" i="7"/>
  <c r="G31" i="7" s="1"/>
  <c r="C31" i="7"/>
  <c r="L31" i="7" s="1"/>
  <c r="F20" i="7"/>
  <c r="G20" i="7" s="1"/>
  <c r="C20" i="7"/>
  <c r="L20" i="7" s="1"/>
  <c r="F21" i="7"/>
  <c r="G21" i="7" s="1"/>
  <c r="C21" i="7"/>
  <c r="L21" i="7" s="1"/>
  <c r="F17" i="8"/>
  <c r="G17" i="8" s="1"/>
  <c r="C17" i="8"/>
  <c r="L17" i="8" s="1"/>
  <c r="C15" i="8"/>
  <c r="L15" i="8" s="1"/>
  <c r="F15" i="8"/>
  <c r="G15" i="8" s="1"/>
  <c r="C16" i="8"/>
  <c r="L16" i="8" s="1"/>
  <c r="F16" i="8"/>
  <c r="G16" i="8" s="1"/>
  <c r="V18" i="8"/>
  <c r="F19" i="8"/>
  <c r="G19" i="8" s="1"/>
  <c r="C19" i="8"/>
  <c r="L19" i="8" s="1"/>
  <c r="W18" i="8"/>
  <c r="F18" i="8"/>
  <c r="G18" i="8" s="1"/>
  <c r="C18" i="8"/>
  <c r="L18" i="8" s="1"/>
  <c r="F14" i="8"/>
  <c r="C14" i="8"/>
  <c r="L14" i="8" s="1"/>
  <c r="E10" i="8"/>
  <c r="E6" i="8"/>
  <c r="F19" i="7"/>
  <c r="G19" i="7" s="1"/>
  <c r="C19" i="7"/>
  <c r="L19" i="7" s="1"/>
  <c r="C24" i="7"/>
  <c r="C18" i="7"/>
  <c r="P49" i="7"/>
  <c r="F17" i="7"/>
  <c r="G17" i="7" s="1"/>
  <c r="C17" i="7"/>
  <c r="L17" i="7" s="1"/>
  <c r="F23" i="7"/>
  <c r="G23" i="7" s="1"/>
  <c r="C23" i="7"/>
  <c r="L23" i="7" s="1"/>
  <c r="F37" i="7"/>
  <c r="G37" i="7" s="1"/>
  <c r="C37" i="7"/>
  <c r="L37" i="7" s="1"/>
  <c r="F38" i="7"/>
  <c r="G38" i="7" s="1"/>
  <c r="C38" i="7"/>
  <c r="L38" i="7" s="1"/>
  <c r="F35" i="7"/>
  <c r="G35" i="7" s="1"/>
  <c r="C35" i="7"/>
  <c r="L35" i="7" s="1"/>
  <c r="C16" i="7"/>
  <c r="L16" i="7" s="1"/>
  <c r="F16" i="7"/>
  <c r="G16" i="7" s="1"/>
  <c r="F15" i="7"/>
  <c r="G15" i="7" s="1"/>
  <c r="C15" i="7"/>
  <c r="L15" i="7" s="1"/>
  <c r="F18" i="7"/>
  <c r="G18" i="7" s="1"/>
  <c r="C22" i="7"/>
  <c r="F22" i="7"/>
  <c r="G22" i="7" s="1"/>
  <c r="F24" i="7"/>
  <c r="G24" i="7" s="1"/>
  <c r="C25" i="7"/>
  <c r="F25" i="7"/>
  <c r="G25" i="7" s="1"/>
  <c r="C26" i="7"/>
  <c r="F26" i="7"/>
  <c r="G26" i="7" s="1"/>
  <c r="C27" i="7"/>
  <c r="F27" i="7"/>
  <c r="G27" i="7" s="1"/>
  <c r="C28" i="7"/>
  <c r="F28" i="7"/>
  <c r="G28" i="7" s="1"/>
  <c r="C29" i="7"/>
  <c r="F29" i="7"/>
  <c r="G29" i="7" s="1"/>
  <c r="C30" i="7"/>
  <c r="F30" i="7"/>
  <c r="G30" i="7" s="1"/>
  <c r="C32" i="7"/>
  <c r="F32" i="7"/>
  <c r="G32" i="7" s="1"/>
  <c r="C33" i="7"/>
  <c r="F33" i="7"/>
  <c r="G33" i="7" s="1"/>
  <c r="C34" i="7"/>
  <c r="F34" i="7"/>
  <c r="G34" i="7" s="1"/>
  <c r="C36" i="7"/>
  <c r="F36" i="7"/>
  <c r="G36" i="7" s="1"/>
  <c r="C44" i="7"/>
  <c r="F44" i="7"/>
  <c r="G44" i="7" s="1"/>
  <c r="C45" i="7"/>
  <c r="F45" i="7"/>
  <c r="G45" i="7" s="1"/>
  <c r="C46" i="7"/>
  <c r="F46" i="7"/>
  <c r="G46" i="7" s="1"/>
  <c r="C47" i="7"/>
  <c r="F47" i="7"/>
  <c r="G47" i="7" s="1"/>
  <c r="C48" i="7"/>
  <c r="F48" i="7"/>
  <c r="G48" i="7" s="1"/>
  <c r="C49" i="7"/>
  <c r="F49" i="7"/>
  <c r="G49" i="7" s="1"/>
  <c r="C50" i="7"/>
  <c r="F50" i="7"/>
  <c r="G50" i="7" s="1"/>
  <c r="C51" i="7"/>
  <c r="F51" i="7"/>
  <c r="G51" i="7" s="1"/>
  <c r="E11" i="8" l="1"/>
  <c r="D10" i="8"/>
  <c r="D11" i="8" s="1"/>
  <c r="D6" i="8"/>
  <c r="D7" i="8" s="1"/>
  <c r="E7" i="8"/>
  <c r="E6" i="7"/>
  <c r="F20" i="8"/>
  <c r="G14" i="8"/>
  <c r="E8" i="8" s="1"/>
  <c r="F14" i="7"/>
  <c r="C14" i="7"/>
  <c r="L14" i="7" s="1"/>
  <c r="L36" i="7"/>
  <c r="L18" i="7"/>
  <c r="F41" i="6"/>
  <c r="G41" i="6" s="1"/>
  <c r="C41" i="6"/>
  <c r="K41" i="6" s="1"/>
  <c r="F40" i="6"/>
  <c r="G40" i="6" s="1"/>
  <c r="C40" i="6"/>
  <c r="K40" i="6" s="1"/>
  <c r="F38" i="6"/>
  <c r="G38" i="6" s="1"/>
  <c r="C38" i="6"/>
  <c r="K38" i="6" s="1"/>
  <c r="D8" i="8" l="1"/>
  <c r="D9" i="8" s="1"/>
  <c r="E9" i="8"/>
  <c r="E7" i="7"/>
  <c r="D6" i="7"/>
  <c r="D7" i="7" s="1"/>
  <c r="G20" i="8"/>
  <c r="G14" i="7"/>
  <c r="F52" i="7"/>
  <c r="E10" i="7"/>
  <c r="L22" i="7"/>
  <c r="L46" i="7"/>
  <c r="L48" i="7"/>
  <c r="L49" i="7"/>
  <c r="L47" i="7"/>
  <c r="L45" i="7"/>
  <c r="L44" i="7"/>
  <c r="L26" i="7"/>
  <c r="L27" i="7"/>
  <c r="L28" i="7"/>
  <c r="L29" i="7"/>
  <c r="L30" i="7"/>
  <c r="L32" i="7"/>
  <c r="L33" i="7"/>
  <c r="L34" i="7"/>
  <c r="L25" i="7"/>
  <c r="L24" i="7"/>
  <c r="L51" i="7"/>
  <c r="L50" i="7"/>
  <c r="F36" i="6"/>
  <c r="G36" i="6" s="1"/>
  <c r="F37" i="6"/>
  <c r="G37" i="6" s="1"/>
  <c r="C37" i="6"/>
  <c r="K37" i="6" s="1"/>
  <c r="C36" i="6"/>
  <c r="K36" i="6" s="1"/>
  <c r="F47" i="6"/>
  <c r="G47" i="6" s="1"/>
  <c r="F43" i="6"/>
  <c r="G43" i="6" s="1"/>
  <c r="F44" i="6"/>
  <c r="G44" i="6" s="1"/>
  <c r="F45" i="6"/>
  <c r="G45" i="6" s="1"/>
  <c r="F46" i="6"/>
  <c r="G46" i="6" s="1"/>
  <c r="F42" i="6"/>
  <c r="G42" i="6" s="1"/>
  <c r="F39" i="6"/>
  <c r="G39" i="6" s="1"/>
  <c r="F35" i="6"/>
  <c r="G35" i="6" s="1"/>
  <c r="F23" i="6"/>
  <c r="G23" i="6" s="1"/>
  <c r="F24" i="6"/>
  <c r="G24" i="6" s="1"/>
  <c r="F25" i="6"/>
  <c r="G25" i="6" s="1"/>
  <c r="F26" i="6"/>
  <c r="G26" i="6" s="1"/>
  <c r="F27" i="6"/>
  <c r="G27" i="6" s="1"/>
  <c r="F28" i="6"/>
  <c r="G28" i="6" s="1"/>
  <c r="F29" i="6"/>
  <c r="G29" i="6" s="1"/>
  <c r="F30" i="6"/>
  <c r="G30" i="6" s="1"/>
  <c r="F31" i="6"/>
  <c r="G31" i="6" s="1"/>
  <c r="F32" i="6"/>
  <c r="G32" i="6" s="1"/>
  <c r="F33" i="6"/>
  <c r="G33" i="6" s="1"/>
  <c r="F34" i="6"/>
  <c r="G34" i="6" s="1"/>
  <c r="F22" i="6"/>
  <c r="G22" i="6" s="1"/>
  <c r="F21" i="6"/>
  <c r="G21" i="6" s="1"/>
  <c r="F20" i="6"/>
  <c r="G20" i="6" s="1"/>
  <c r="F19" i="6"/>
  <c r="G19" i="6" s="1"/>
  <c r="F18" i="6"/>
  <c r="G18" i="6" s="1"/>
  <c r="F17" i="6"/>
  <c r="G17" i="6" s="1"/>
  <c r="F16" i="6"/>
  <c r="G16" i="6" s="1"/>
  <c r="F15" i="6"/>
  <c r="G15" i="6" s="1"/>
  <c r="E6" i="6" s="1"/>
  <c r="F14" i="6"/>
  <c r="G14" i="6" s="1"/>
  <c r="E11" i="7" l="1"/>
  <c r="D10" i="7"/>
  <c r="D11" i="7" s="1"/>
  <c r="E8" i="7"/>
  <c r="G52" i="7"/>
  <c r="G48" i="6"/>
  <c r="F48" i="6"/>
  <c r="G14" i="2"/>
  <c r="E7" i="6"/>
  <c r="G15" i="2"/>
  <c r="C47" i="6"/>
  <c r="K47" i="6" s="1"/>
  <c r="C46" i="6"/>
  <c r="K46" i="6" s="1"/>
  <c r="C45" i="6"/>
  <c r="K45" i="6" s="1"/>
  <c r="C44" i="6"/>
  <c r="K44" i="6" s="1"/>
  <c r="C43" i="6"/>
  <c r="K43" i="6" s="1"/>
  <c r="C42" i="6"/>
  <c r="K42" i="6" s="1"/>
  <c r="C39" i="6"/>
  <c r="K39" i="6" s="1"/>
  <c r="C35" i="6"/>
  <c r="K35" i="6" s="1"/>
  <c r="C34" i="6"/>
  <c r="K34" i="6" s="1"/>
  <c r="C33" i="6"/>
  <c r="K33" i="6" s="1"/>
  <c r="C32" i="6"/>
  <c r="K32" i="6" s="1"/>
  <c r="C31" i="6"/>
  <c r="K31" i="6" s="1"/>
  <c r="C30" i="6"/>
  <c r="K30" i="6" s="1"/>
  <c r="C29" i="6"/>
  <c r="K29" i="6" s="1"/>
  <c r="C28" i="6"/>
  <c r="K28" i="6" s="1"/>
  <c r="C27" i="6"/>
  <c r="K27" i="6" s="1"/>
  <c r="C26" i="6"/>
  <c r="K26" i="6" s="1"/>
  <c r="C25" i="6"/>
  <c r="K25" i="6" s="1"/>
  <c r="C24" i="6"/>
  <c r="K24" i="6" s="1"/>
  <c r="C23" i="6"/>
  <c r="K23" i="6" s="1"/>
  <c r="C22" i="6"/>
  <c r="K22" i="6" s="1"/>
  <c r="C21" i="6"/>
  <c r="K21" i="6" s="1"/>
  <c r="C20" i="6"/>
  <c r="K20" i="6" s="1"/>
  <c r="C19" i="6"/>
  <c r="K19" i="6" s="1"/>
  <c r="C18" i="6"/>
  <c r="K18" i="6" s="1"/>
  <c r="C17" i="6"/>
  <c r="K17" i="6" s="1"/>
  <c r="C16" i="6"/>
  <c r="K16" i="6" s="1"/>
  <c r="C15" i="6"/>
  <c r="K15" i="6" s="1"/>
  <c r="C14" i="6"/>
  <c r="K14" i="6" s="1"/>
  <c r="C11" i="6"/>
  <c r="E10" i="6"/>
  <c r="E11" i="6" s="1"/>
  <c r="C9" i="6"/>
  <c r="E8" i="6"/>
  <c r="E9" i="6" s="1"/>
  <c r="C7" i="6"/>
  <c r="J3" i="6" a="1"/>
  <c r="J3" i="6" s="1"/>
  <c r="E9" i="7" l="1"/>
  <c r="D8" i="7"/>
  <c r="D9" i="7" s="1"/>
  <c r="D10" i="6"/>
  <c r="D11" i="6" s="1"/>
  <c r="D8" i="6"/>
  <c r="D9" i="6" s="1"/>
  <c r="D6" i="6"/>
  <c r="D7" i="6" s="1"/>
  <c r="C37" i="5" l="1"/>
  <c r="H37" i="5" s="1"/>
  <c r="C35" i="5"/>
  <c r="H35" i="5" s="1"/>
  <c r="C31" i="5"/>
  <c r="H31" i="5" s="1"/>
  <c r="C32" i="5"/>
  <c r="H32" i="5" s="1"/>
  <c r="C26" i="5"/>
  <c r="H26" i="5" s="1"/>
  <c r="C33" i="5"/>
  <c r="H33" i="5" s="1"/>
  <c r="E6" i="5"/>
  <c r="C43" i="5"/>
  <c r="H43" i="5" s="1"/>
  <c r="C42" i="5"/>
  <c r="H42" i="5" s="1"/>
  <c r="C41" i="5"/>
  <c r="H41" i="5" s="1"/>
  <c r="C40" i="5"/>
  <c r="H40" i="5" s="1"/>
  <c r="C39" i="5"/>
  <c r="H39" i="5" s="1"/>
  <c r="C38" i="5"/>
  <c r="H38" i="5" s="1"/>
  <c r="C36" i="5"/>
  <c r="H36" i="5" s="1"/>
  <c r="C34" i="5"/>
  <c r="H34" i="5" s="1"/>
  <c r="C30" i="5"/>
  <c r="H30" i="5" s="1"/>
  <c r="C29" i="5"/>
  <c r="H29" i="5" s="1"/>
  <c r="C28" i="5"/>
  <c r="H28" i="5" s="1"/>
  <c r="C27" i="5"/>
  <c r="H27" i="5" s="1"/>
  <c r="C25" i="5"/>
  <c r="H25" i="5" s="1"/>
  <c r="C24" i="5"/>
  <c r="H24" i="5" s="1"/>
  <c r="C23" i="5"/>
  <c r="H23" i="5" s="1"/>
  <c r="C22" i="5"/>
  <c r="H22" i="5" s="1"/>
  <c r="C21" i="5"/>
  <c r="H21" i="5" s="1"/>
  <c r="C20" i="5"/>
  <c r="H20" i="5" s="1"/>
  <c r="C19" i="5"/>
  <c r="H19" i="5" s="1"/>
  <c r="C18" i="5"/>
  <c r="H18" i="5" s="1"/>
  <c r="C17" i="5"/>
  <c r="H17" i="5" s="1"/>
  <c r="C16" i="5"/>
  <c r="H16" i="5" s="1"/>
  <c r="C15" i="5"/>
  <c r="H15" i="5" s="1"/>
  <c r="C14" i="5"/>
  <c r="H14" i="5" s="1"/>
  <c r="D44" i="5"/>
  <c r="C11" i="5"/>
  <c r="E10" i="5"/>
  <c r="E11" i="5" s="1"/>
  <c r="C9" i="5"/>
  <c r="E8" i="5"/>
  <c r="D8" i="5" s="1"/>
  <c r="D9" i="5" s="1"/>
  <c r="C7" i="5"/>
  <c r="G3" i="5" a="1"/>
  <c r="G3" i="5" s="1"/>
  <c r="C4" i="5" a="1"/>
  <c r="D10" i="5" l="1"/>
  <c r="D11" i="5" s="1"/>
  <c r="C4" i="5"/>
  <c r="C3" i="5" s="1"/>
  <c r="E9" i="5"/>
  <c r="G42" i="1"/>
  <c r="G41" i="1"/>
  <c r="G40" i="1"/>
  <c r="G13" i="1"/>
  <c r="G39" i="1"/>
  <c r="E3" i="1"/>
  <c r="E9" i="1"/>
  <c r="E7" i="1"/>
  <c r="E5" i="1"/>
  <c r="G36" i="1"/>
  <c r="G37" i="1"/>
  <c r="G38" i="1"/>
  <c r="G35" i="1"/>
  <c r="C43" i="1"/>
  <c r="G31" i="1"/>
  <c r="G30" i="1"/>
  <c r="G32" i="1"/>
  <c r="C4" i="2" a="1"/>
  <c r="C4" i="6" a="1"/>
  <c r="C4" i="6" l="1"/>
  <c r="C3" i="6" s="1"/>
  <c r="D3" i="1"/>
  <c r="E3" i="5"/>
  <c r="C5" i="5"/>
  <c r="C4" i="2"/>
  <c r="C3" i="2" s="1"/>
  <c r="G29" i="1"/>
  <c r="G33" i="1"/>
  <c r="G3" i="2" a="1"/>
  <c r="G3" i="2" s="1"/>
  <c r="G2" i="1" a="1"/>
  <c r="G2" i="1" s="1"/>
  <c r="G34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E3" i="6" l="1"/>
  <c r="D3" i="6" s="1"/>
  <c r="D5" i="6" s="1"/>
  <c r="C5" i="6"/>
  <c r="E5" i="5"/>
  <c r="D3" i="5"/>
  <c r="D5" i="5" s="1"/>
  <c r="C5" i="2"/>
  <c r="E10" i="2"/>
  <c r="D10" i="2" s="1"/>
  <c r="D11" i="2" s="1"/>
  <c r="E8" i="2"/>
  <c r="E9" i="2" s="1"/>
  <c r="E6" i="2"/>
  <c r="E7" i="2" s="1"/>
  <c r="E3" i="2"/>
  <c r="C16" i="2"/>
  <c r="E4" i="1"/>
  <c r="C11" i="2"/>
  <c r="C9" i="2"/>
  <c r="C7" i="2"/>
  <c r="E10" i="1"/>
  <c r="E8" i="1"/>
  <c r="E6" i="1"/>
  <c r="C4" i="1"/>
  <c r="C6" i="1"/>
  <c r="C10" i="1"/>
  <c r="C8" i="1"/>
  <c r="E5" i="6" l="1"/>
  <c r="E7" i="5"/>
  <c r="D6" i="5"/>
  <c r="D7" i="5" s="1"/>
  <c r="D3" i="2"/>
  <c r="D5" i="2" s="1"/>
  <c r="E5" i="2"/>
  <c r="D6" i="2"/>
  <c r="D7" i="2" s="1"/>
  <c r="E11" i="2"/>
  <c r="D8" i="2"/>
  <c r="D9" i="2" s="1"/>
  <c r="D7" i="1"/>
  <c r="D8" i="1" s="1"/>
  <c r="D9" i="1"/>
  <c r="D10" i="1" s="1"/>
  <c r="D4" i="1"/>
  <c r="D5" i="1"/>
  <c r="D6" i="1" s="1"/>
  <c r="C4" i="7" a="1"/>
  <c r="C4" i="7" l="1"/>
  <c r="E3" i="7" l="1"/>
  <c r="C5" i="7"/>
  <c r="C4" i="8" a="1"/>
  <c r="C4" i="8" l="1"/>
  <c r="D3" i="7"/>
  <c r="D5" i="7" s="1"/>
  <c r="E5" i="7"/>
  <c r="E3" i="8" l="1"/>
  <c r="E5" i="8" s="1"/>
  <c r="C5" i="8"/>
  <c r="D3" i="8" l="1"/>
  <c r="D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<sst xmlns="http://schemas.openxmlformats.org/spreadsheetml/2006/main" count="626" uniqueCount="97">
  <si>
    <t>Total</t>
  </si>
  <si>
    <t>Date</t>
  </si>
  <si>
    <t>Hrs</t>
  </si>
  <si>
    <t>Notes</t>
  </si>
  <si>
    <t>PTO</t>
  </si>
  <si>
    <t>PTO (days)</t>
  </si>
  <si>
    <t>PTO (hrs)</t>
  </si>
  <si>
    <t>Be You (hrs)</t>
  </si>
  <si>
    <t>Be You (days)</t>
  </si>
  <si>
    <t>Type</t>
  </si>
  <si>
    <t>Be You</t>
  </si>
  <si>
    <t>Totals</t>
  </si>
  <si>
    <t>Remaining</t>
  </si>
  <si>
    <t>Graduation</t>
  </si>
  <si>
    <t>Day after Thanksgiving</t>
  </si>
  <si>
    <t>Sick time PTO (hrs)</t>
  </si>
  <si>
    <t>Sick time PTO (days)</t>
  </si>
  <si>
    <t>BANK</t>
  </si>
  <si>
    <t>BTTB tune-up week</t>
  </si>
  <si>
    <t>BTTB main-event week</t>
  </si>
  <si>
    <t>Yes</t>
  </si>
  <si>
    <t>UKG
Submitted?</t>
  </si>
  <si>
    <t>Volunteer (hrs)</t>
  </si>
  <si>
    <t>Volunteer (days)</t>
  </si>
  <si>
    <t>Friday before Labor Day</t>
  </si>
  <si>
    <t>Upcoming / Passed</t>
  </si>
  <si>
    <t>Used</t>
  </si>
  <si>
    <t>First day of school</t>
  </si>
  <si>
    <t>No</t>
  </si>
  <si>
    <t>Family trip / water park</t>
  </si>
  <si>
    <t>B.T. drop off</t>
  </si>
  <si>
    <t>Firday before
Memorial Day</t>
  </si>
  <si>
    <t>Sick</t>
  </si>
  <si>
    <t>Volunteer</t>
  </si>
  <si>
    <t>12p-4p / AZ trip</t>
  </si>
  <si>
    <t>Day after procedure</t>
  </si>
  <si>
    <t>Mental Health Day</t>
  </si>
  <si>
    <t>Day of procedure</t>
  </si>
  <si>
    <t>Prev. Yr. Carry Over (hrs)</t>
  </si>
  <si>
    <t>BTTB Main Event Week</t>
  </si>
  <si>
    <t>BTTB Tune Up Week</t>
  </si>
  <si>
    <t>HES</t>
  </si>
  <si>
    <t>Friday before Memorial Day</t>
  </si>
  <si>
    <t>Day before mom's funeral</t>
  </si>
  <si>
    <t>Not sick / appliance shopping</t>
  </si>
  <si>
    <t>Vehicle maintenance (Rubi)</t>
  </si>
  <si>
    <t>Splash Village</t>
  </si>
  <si>
    <t>Upcoming /
Passed</t>
  </si>
  <si>
    <t>Day of
Week</t>
  </si>
  <si>
    <t>Christmas --&gt; New Year</t>
  </si>
  <si>
    <t>Forgot Computer @ Home</t>
  </si>
  <si>
    <t>Doctor &amp; brakes</t>
  </si>
  <si>
    <t>Using up "straggler" 3 hrs</t>
  </si>
  <si>
    <t>Start
Time</t>
  </si>
  <si>
    <t>End
Time</t>
  </si>
  <si>
    <t>Doctor, brakes, &amp; undercoatings</t>
  </si>
  <si>
    <t>Work
Hrs</t>
  </si>
  <si>
    <t>Total
Hrs</t>
  </si>
  <si>
    <t>Kentucky</t>
  </si>
  <si>
    <t>BTTB Tune-up Week</t>
  </si>
  <si>
    <t>Christmas --&gt; New Years</t>
  </si>
  <si>
    <t>Not sick / Elli to Fox</t>
  </si>
  <si>
    <t>Not sick / forgot computer @ home</t>
  </si>
  <si>
    <t>Not sick / Kentucky</t>
  </si>
  <si>
    <t>Not sick / Elli from Fox</t>
  </si>
  <si>
    <t>Legit sick</t>
  </si>
  <si>
    <t>N/A</t>
  </si>
  <si>
    <t>Sparky to Serra</t>
  </si>
  <si>
    <t>Be you</t>
  </si>
  <si>
    <t>Sick (not sure why I used "Be You" insteaed of actual sick time)</t>
  </si>
  <si>
    <t>Meeting</t>
  </si>
  <si>
    <t>Kids' first day of school</t>
  </si>
  <si>
    <t>Doctor (split across PTO &amp; Be You)</t>
  </si>
  <si>
    <t>Rubi to Fox (brakes)</t>
  </si>
  <si>
    <t>Anniversary</t>
  </si>
  <si>
    <t>Year</t>
  </si>
  <si>
    <t>1st - 02/12/2025</t>
  </si>
  <si>
    <t>2nd - 02/14/2026</t>
  </si>
  <si>
    <t>3rd - 02/14/2027</t>
  </si>
  <si>
    <t>4th - 02/14/2028</t>
  </si>
  <si>
    <t>5th - 02/14/2029</t>
  </si>
  <si>
    <t>6th - 02/14/2030</t>
  </si>
  <si>
    <t>7th - 02/14/2031</t>
  </si>
  <si>
    <t>8th - 02/14/2032</t>
  </si>
  <si>
    <t>9th - 02/14/2033</t>
  </si>
  <si>
    <t>10th - 02/14/2034</t>
  </si>
  <si>
    <t>Fieldtrip / Friday before Memorial Day</t>
  </si>
  <si>
    <t>UKG
Approved?</t>
  </si>
  <si>
    <t>Garage door replacement quote</t>
  </si>
  <si>
    <t>KY / Ark</t>
  </si>
  <si>
    <t>Barn garage door operator replacement
(split request only in this tracker / one request in UKG)</t>
  </si>
  <si>
    <t>Not sick / BTTB
(split request only in this tracker / one request in UKG)</t>
  </si>
  <si>
    <t>BTTB Main Event Week
(split request only in this tracker / one request in UKG)</t>
  </si>
  <si>
    <t>Sick (vomiting on way home from doc appt)</t>
  </si>
  <si>
    <t>Not sick / Sparky undercoating</t>
  </si>
  <si>
    <t>G sick / helping get kids up, around &amp; dropped off</t>
  </si>
  <si>
    <t>G sick / helping get kids picked up &amp; C to dentist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</si>
</sst>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mm\/dd\/yyyy"/>
  </numFmts>
  <fonts count="7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FFFF00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6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 diagonalUp="1" diagonalDown="1">
      <left/>
      <right style="thin">
        <color auto="1"/>
      </right>
      <top/>
      <bottom style="medium">
        <color auto="1"/>
      </bottom>
      <diagonal style="thin">
        <color auto="1"/>
      </diagonal>
    </border>
    <border diagonalUp="1" diagonalDown="1">
      <left/>
      <right style="medium">
        <color auto="1"/>
      </right>
      <top/>
      <bottom style="medium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 diagonalUp="1" diagonalDown="1">
      <left style="thin">
        <color auto="1"/>
      </left>
      <right style="thin">
        <color auto="1"/>
      </right>
      <top/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 style="medium">
        <color auto="1"/>
      </right>
      <top/>
      <bottom/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 diagonalUp="1" diagonalDown="1">
      <left/>
      <right style="thin">
        <color auto="1"/>
      </right>
      <top style="medium">
        <color auto="1"/>
      </top>
      <bottom style="medium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thin">
        <color auto="1"/>
      </diagonal>
    </border>
    <border diagonalUp="1" diagonalDown="1">
      <left/>
      <right style="medium">
        <color auto="1"/>
      </right>
      <top style="medium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 diagonalUp="1" diagonalDown="1">
      <left style="thin">
        <color auto="1"/>
      </left>
      <right style="medium">
        <color auto="1"/>
      </right>
      <top/>
      <bottom style="medium">
        <color auto="1"/>
      </bottom>
      <diagonal style="thin">
        <color auto="1"/>
      </diagonal>
    </border>
    <border diagonalUp="1" diagonalDown="1"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thin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 diagonalUp="1" diagonalDown="1">
      <left style="medium">
        <color auto="1"/>
      </left>
      <right style="medium">
        <color auto="1"/>
      </right>
      <top/>
      <bottom style="medium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 diagonalUp="1"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thin">
        <color auto="1"/>
      </diagonal>
    </border>
    <border diagonalUp="1" diagonalDown="1"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thin">
        <color auto="1"/>
      </diagonal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9">
    <xf numFmtId="0" fontId="0" fillId="0" borderId="0" xfId="0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5" borderId="12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0" borderId="32" xfId="0" applyBorder="1"/>
    <xf numFmtId="0" fontId="1" fillId="0" borderId="2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6" xfId="0" applyFont="1" applyBorder="1" applyAlignment="1">
      <alignment horizontal="center" wrapText="1"/>
    </xf>
    <xf numFmtId="14" fontId="0" fillId="2" borderId="8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14" fontId="0" fillId="0" borderId="0" xfId="0" applyNumberFormat="1"/>
    <xf numFmtId="0" fontId="1" fillId="0" borderId="26" xfId="0" applyFont="1" applyBorder="1" applyAlignment="1">
      <alignment horizontal="center"/>
    </xf>
    <xf numFmtId="14" fontId="0" fillId="2" borderId="11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7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5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3" borderId="34" xfId="0" applyFill="1" applyBorder="1" applyAlignment="1">
      <alignment horizontal="center" wrapText="1"/>
    </xf>
    <xf numFmtId="0" fontId="0" fillId="3" borderId="33" xfId="0" applyFill="1" applyBorder="1" applyAlignment="1">
      <alignment horizontal="center" wrapText="1"/>
    </xf>
    <xf numFmtId="0" fontId="0" fillId="3" borderId="35" xfId="0" applyFill="1" applyBorder="1" applyAlignment="1">
      <alignment horizontal="center" wrapText="1"/>
    </xf>
    <xf numFmtId="0" fontId="0" fillId="3" borderId="36" xfId="0" applyFill="1" applyBorder="1" applyAlignment="1">
      <alignment horizontal="center" wrapText="1"/>
    </xf>
    <xf numFmtId="164" fontId="0" fillId="0" borderId="0" xfId="0" applyNumberFormat="1"/>
    <xf numFmtId="0" fontId="0" fillId="5" borderId="13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3" borderId="22" xfId="0" applyFill="1" applyBorder="1" applyAlignment="1">
      <alignment horizontal="center" wrapText="1"/>
    </xf>
    <xf numFmtId="0" fontId="2" fillId="0" borderId="0" xfId="0" applyFont="1" applyAlignment="1">
      <alignment vertical="center"/>
    </xf>
    <xf numFmtId="0" fontId="3" fillId="7" borderId="0" xfId="0" applyFont="1" applyFill="1"/>
    <xf numFmtId="0" fontId="0" fillId="2" borderId="1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3" borderId="38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3" borderId="3" xfId="0" applyFill="1" applyBorder="1" applyAlignment="1">
      <alignment horizontal="center" wrapText="1"/>
    </xf>
    <xf numFmtId="0" fontId="0" fillId="6" borderId="12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3" borderId="40" xfId="0" applyFill="1" applyBorder="1" applyAlignment="1">
      <alignment horizontal="center" wrapText="1"/>
    </xf>
    <xf numFmtId="0" fontId="0" fillId="3" borderId="39" xfId="0" applyFill="1" applyBorder="1" applyAlignment="1">
      <alignment horizontal="center" wrapText="1"/>
    </xf>
    <xf numFmtId="0" fontId="0" fillId="8" borderId="41" xfId="0" applyFill="1" applyBorder="1" applyAlignment="1">
      <alignment horizontal="center"/>
    </xf>
    <xf numFmtId="0" fontId="0" fillId="8" borderId="42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0" fillId="10" borderId="45" xfId="0" applyFill="1" applyBorder="1" applyAlignment="1">
      <alignment horizontal="center"/>
    </xf>
    <xf numFmtId="0" fontId="0" fillId="10" borderId="27" xfId="0" applyFill="1" applyBorder="1" applyAlignment="1">
      <alignment horizontal="center" wrapText="1"/>
    </xf>
    <xf numFmtId="0" fontId="0" fillId="10" borderId="29" xfId="0" applyFill="1" applyBorder="1" applyAlignment="1">
      <alignment horizontal="center" wrapText="1"/>
    </xf>
    <xf numFmtId="0" fontId="0" fillId="10" borderId="46" xfId="0" applyFill="1" applyBorder="1" applyAlignment="1">
      <alignment horizontal="center" wrapText="1"/>
    </xf>
    <xf numFmtId="0" fontId="0" fillId="3" borderId="47" xfId="0" applyFill="1" applyBorder="1" applyAlignment="1">
      <alignment horizontal="center" wrapText="1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9" borderId="14" xfId="0" applyFill="1" applyBorder="1" applyAlignment="1">
      <alignment horizontal="center"/>
    </xf>
    <xf numFmtId="0" fontId="0" fillId="9" borderId="43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43" xfId="0" applyFill="1" applyBorder="1" applyAlignment="1">
      <alignment horizontal="center" wrapText="1"/>
    </xf>
    <xf numFmtId="0" fontId="0" fillId="3" borderId="19" xfId="0" applyFill="1" applyBorder="1" applyAlignment="1">
      <alignment horizontal="center" wrapText="1"/>
    </xf>
    <xf numFmtId="0" fontId="0" fillId="2" borderId="10" xfId="0" applyFill="1" applyBorder="1" applyAlignment="1">
      <alignment horizontal="center"/>
    </xf>
    <xf numFmtId="0" fontId="0" fillId="2" borderId="26" xfId="0" applyFill="1" applyBorder="1" applyAlignment="1">
      <alignment horizontal="center" wrapText="1"/>
    </xf>
    <xf numFmtId="0" fontId="0" fillId="9" borderId="45" xfId="0" applyFill="1" applyBorder="1" applyAlignment="1">
      <alignment horizontal="center"/>
    </xf>
    <xf numFmtId="0" fontId="0" fillId="9" borderId="46" xfId="0" applyFill="1" applyBorder="1" applyAlignment="1">
      <alignment horizontal="center"/>
    </xf>
    <xf numFmtId="165" fontId="0" fillId="11" borderId="16" xfId="0" applyNumberFormat="1" applyFill="1" applyBorder="1" applyAlignment="1">
      <alignment horizontal="center"/>
    </xf>
    <xf numFmtId="165" fontId="0" fillId="4" borderId="11" xfId="0" applyNumberFormat="1" applyFill="1" applyBorder="1" applyAlignment="1">
      <alignment horizontal="center"/>
    </xf>
    <xf numFmtId="165" fontId="0" fillId="4" borderId="8" xfId="0" applyNumberFormat="1" applyFill="1" applyBorder="1" applyAlignment="1">
      <alignment horizontal="center"/>
    </xf>
    <xf numFmtId="165" fontId="0" fillId="10" borderId="11" xfId="0" applyNumberFormat="1" applyFill="1" applyBorder="1" applyAlignment="1">
      <alignment horizontal="center"/>
    </xf>
    <xf numFmtId="165" fontId="0" fillId="10" borderId="20" xfId="0" applyNumberFormat="1" applyFill="1" applyBorder="1" applyAlignment="1">
      <alignment horizontal="center"/>
    </xf>
    <xf numFmtId="165" fontId="0" fillId="10" borderId="44" xfId="0" applyNumberFormat="1" applyFill="1" applyBorder="1" applyAlignment="1">
      <alignment horizontal="center"/>
    </xf>
    <xf numFmtId="165" fontId="0" fillId="2" borderId="23" xfId="0" applyNumberFormat="1" applyFill="1" applyBorder="1" applyAlignment="1">
      <alignment horizontal="center"/>
    </xf>
    <xf numFmtId="165" fontId="0" fillId="9" borderId="16" xfId="0" applyNumberFormat="1" applyFill="1" applyBorder="1" applyAlignment="1">
      <alignment horizontal="center"/>
    </xf>
    <xf numFmtId="165" fontId="0" fillId="9" borderId="20" xfId="0" applyNumberFormat="1" applyFill="1" applyBorder="1" applyAlignment="1">
      <alignment horizontal="center"/>
    </xf>
    <xf numFmtId="165" fontId="0" fillId="9" borderId="44" xfId="0" applyNumberFormat="1" applyFill="1" applyBorder="1" applyAlignment="1">
      <alignment horizontal="center"/>
    </xf>
    <xf numFmtId="165" fontId="0" fillId="2" borderId="11" xfId="0" applyNumberFormat="1" applyFill="1" applyBorder="1" applyAlignment="1">
      <alignment horizontal="center"/>
    </xf>
    <xf numFmtId="165" fontId="0" fillId="2" borderId="8" xfId="0" applyNumberFormat="1" applyFill="1" applyBorder="1" applyAlignment="1">
      <alignment horizontal="center"/>
    </xf>
    <xf numFmtId="165" fontId="0" fillId="6" borderId="9" xfId="0" applyNumberFormat="1" applyFill="1" applyBorder="1" applyAlignment="1">
      <alignment horizontal="center"/>
    </xf>
    <xf numFmtId="165" fontId="0" fillId="5" borderId="11" xfId="0" applyNumberFormat="1" applyFill="1" applyBorder="1" applyAlignment="1">
      <alignment horizontal="center"/>
    </xf>
    <xf numFmtId="165" fontId="0" fillId="5" borderId="20" xfId="0" applyNumberFormat="1" applyFill="1" applyBorder="1" applyAlignment="1">
      <alignment horizontal="center"/>
    </xf>
    <xf numFmtId="165" fontId="0" fillId="5" borderId="17" xfId="0" applyNumberFormat="1" applyFill="1" applyBorder="1" applyAlignment="1">
      <alignment horizontal="center"/>
    </xf>
    <xf numFmtId="165" fontId="0" fillId="5" borderId="9" xfId="0" applyNumberFormat="1" applyFill="1" applyBorder="1" applyAlignment="1">
      <alignment horizontal="center"/>
    </xf>
    <xf numFmtId="165" fontId="0" fillId="5" borderId="18" xfId="0" applyNumberFormat="1" applyFill="1" applyBorder="1" applyAlignment="1">
      <alignment horizontal="center"/>
    </xf>
    <xf numFmtId="165" fontId="0" fillId="2" borderId="17" xfId="0" applyNumberFormat="1" applyFill="1" applyBorder="1" applyAlignment="1">
      <alignment horizontal="center"/>
    </xf>
    <xf numFmtId="165" fontId="0" fillId="2" borderId="9" xfId="0" applyNumberFormat="1" applyFill="1" applyBorder="1" applyAlignment="1">
      <alignment horizontal="center"/>
    </xf>
    <xf numFmtId="165" fontId="0" fillId="6" borderId="11" xfId="0" applyNumberFormat="1" applyFill="1" applyBorder="1" applyAlignment="1">
      <alignment horizontal="center"/>
    </xf>
    <xf numFmtId="165" fontId="0" fillId="6" borderId="17" xfId="0" applyNumberFormat="1" applyFill="1" applyBorder="1" applyAlignment="1">
      <alignment horizontal="center"/>
    </xf>
    <xf numFmtId="165" fontId="0" fillId="4" borderId="23" xfId="0" applyNumberForma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5" fontId="0" fillId="12" borderId="11" xfId="0" applyNumberFormat="1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27" xfId="0" applyFill="1" applyBorder="1" applyAlignment="1">
      <alignment horizontal="center" wrapText="1"/>
    </xf>
    <xf numFmtId="0" fontId="0" fillId="2" borderId="43" xfId="0" applyFill="1" applyBorder="1" applyAlignment="1">
      <alignment horizontal="center"/>
    </xf>
    <xf numFmtId="165" fontId="0" fillId="11" borderId="18" xfId="0" applyNumberFormat="1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31" xfId="0" applyFill="1" applyBorder="1" applyAlignment="1">
      <alignment horizontal="center" wrapText="1"/>
    </xf>
    <xf numFmtId="165" fontId="0" fillId="11" borderId="20" xfId="0" applyNumberFormat="1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29" xfId="0" applyFill="1" applyBorder="1" applyAlignment="1">
      <alignment horizontal="center" wrapText="1"/>
    </xf>
    <xf numFmtId="165" fontId="0" fillId="4" borderId="18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165" fontId="0" fillId="6" borderId="23" xfId="0" applyNumberForma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26" xfId="0" applyFill="1" applyBorder="1" applyAlignment="1">
      <alignment horizontal="center" wrapText="1"/>
    </xf>
    <xf numFmtId="0" fontId="0" fillId="4" borderId="15" xfId="0" applyFill="1" applyBorder="1" applyAlignment="1">
      <alignment horizontal="center" wrapText="1"/>
    </xf>
    <xf numFmtId="0" fontId="0" fillId="4" borderId="26" xfId="0" applyFill="1" applyBorder="1" applyAlignment="1">
      <alignment horizontal="center" wrapText="1"/>
    </xf>
    <xf numFmtId="18" fontId="0" fillId="9" borderId="21" xfId="0" applyNumberFormat="1" applyFill="1" applyBorder="1" applyAlignment="1">
      <alignment horizontal="center"/>
    </xf>
    <xf numFmtId="18" fontId="0" fillId="9" borderId="45" xfId="0" applyNumberFormat="1" applyFill="1" applyBorder="1" applyAlignment="1">
      <alignment horizontal="center"/>
    </xf>
    <xf numFmtId="18" fontId="0" fillId="4" borderId="10" xfId="0" applyNumberFormat="1" applyFill="1" applyBorder="1" applyAlignment="1">
      <alignment horizontal="center"/>
    </xf>
    <xf numFmtId="18" fontId="0" fillId="12" borderId="14" xfId="0" applyNumberFormat="1" applyFill="1" applyBorder="1" applyAlignment="1">
      <alignment horizontal="center"/>
    </xf>
    <xf numFmtId="18" fontId="0" fillId="11" borderId="12" xfId="0" applyNumberFormat="1" applyFill="1" applyBorder="1" applyAlignment="1">
      <alignment horizontal="center"/>
    </xf>
    <xf numFmtId="18" fontId="0" fillId="11" borderId="21" xfId="0" applyNumberFormat="1" applyFill="1" applyBorder="1" applyAlignment="1">
      <alignment horizontal="center"/>
    </xf>
    <xf numFmtId="18" fontId="0" fillId="6" borderId="10" xfId="0" applyNumberFormat="1" applyFill="1" applyBorder="1" applyAlignment="1">
      <alignment horizontal="center"/>
    </xf>
    <xf numFmtId="18" fontId="0" fillId="10" borderId="12" xfId="0" applyNumberFormat="1" applyFill="1" applyBorder="1" applyAlignment="1">
      <alignment horizontal="center"/>
    </xf>
    <xf numFmtId="18" fontId="0" fillId="10" borderId="21" xfId="0" applyNumberFormat="1" applyFill="1" applyBorder="1" applyAlignment="1">
      <alignment horizontal="center"/>
    </xf>
    <xf numFmtId="18" fontId="0" fillId="10" borderId="45" xfId="0" applyNumberFormat="1" applyFill="1" applyBorder="1" applyAlignment="1">
      <alignment horizontal="center"/>
    </xf>
    <xf numFmtId="0" fontId="1" fillId="0" borderId="19" xfId="0" applyFont="1" applyBorder="1" applyAlignment="1">
      <alignment horizontal="center" wrapText="1"/>
    </xf>
    <xf numFmtId="0" fontId="0" fillId="12" borderId="40" xfId="0" applyFill="1" applyBorder="1" applyAlignment="1">
      <alignment horizontal="center"/>
    </xf>
    <xf numFmtId="0" fontId="0" fillId="11" borderId="51" xfId="0" applyFill="1" applyBorder="1" applyAlignment="1">
      <alignment horizontal="center"/>
    </xf>
    <xf numFmtId="0" fontId="0" fillId="11" borderId="33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3" xfId="0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0" fontId="0" fillId="0" borderId="52" xfId="0" applyBorder="1"/>
    <xf numFmtId="0" fontId="0" fillId="0" borderId="53" xfId="0" applyBorder="1"/>
    <xf numFmtId="0" fontId="1" fillId="0" borderId="54" xfId="0" applyFont="1" applyBorder="1" applyAlignment="1">
      <alignment horizontal="center"/>
    </xf>
    <xf numFmtId="0" fontId="0" fillId="12" borderId="55" xfId="0" applyFill="1" applyBorder="1" applyAlignment="1">
      <alignment horizontal="center"/>
    </xf>
    <xf numFmtId="0" fontId="0" fillId="11" borderId="56" xfId="0" applyFill="1" applyBorder="1" applyAlignment="1">
      <alignment horizontal="center"/>
    </xf>
    <xf numFmtId="0" fontId="0" fillId="11" borderId="57" xfId="0" applyFill="1" applyBorder="1" applyAlignment="1">
      <alignment horizontal="center"/>
    </xf>
    <xf numFmtId="0" fontId="0" fillId="11" borderId="58" xfId="0" applyFill="1" applyBorder="1" applyAlignment="1">
      <alignment horizontal="center"/>
    </xf>
    <xf numFmtId="0" fontId="0" fillId="6" borderId="54" xfId="0" applyFill="1" applyBorder="1" applyAlignment="1">
      <alignment horizontal="center"/>
    </xf>
    <xf numFmtId="0" fontId="0" fillId="4" borderId="58" xfId="0" applyFill="1" applyBorder="1" applyAlignment="1">
      <alignment horizontal="center"/>
    </xf>
    <xf numFmtId="0" fontId="0" fillId="10" borderId="55" xfId="0" applyFill="1" applyBorder="1" applyAlignment="1">
      <alignment horizontal="center"/>
    </xf>
    <xf numFmtId="0" fontId="0" fillId="10" borderId="57" xfId="0" applyFill="1" applyBorder="1" applyAlignment="1">
      <alignment horizontal="center"/>
    </xf>
    <xf numFmtId="0" fontId="0" fillId="10" borderId="59" xfId="0" applyFill="1" applyBorder="1" applyAlignment="1">
      <alignment horizontal="center"/>
    </xf>
    <xf numFmtId="0" fontId="0" fillId="4" borderId="54" xfId="0" applyFill="1" applyBorder="1" applyAlignment="1">
      <alignment horizontal="center"/>
    </xf>
    <xf numFmtId="0" fontId="0" fillId="9" borderId="57" xfId="0" applyFill="1" applyBorder="1" applyAlignment="1">
      <alignment horizontal="center"/>
    </xf>
    <xf numFmtId="0" fontId="0" fillId="9" borderId="59" xfId="0" applyFill="1" applyBorder="1" applyAlignment="1">
      <alignment horizontal="center"/>
    </xf>
    <xf numFmtId="0" fontId="0" fillId="0" borderId="60" xfId="0" applyBorder="1"/>
    <xf numFmtId="0" fontId="0" fillId="3" borderId="1" xfId="0" applyFill="1" applyBorder="1" applyAlignment="1">
      <alignment horizontal="center" wrapText="1"/>
    </xf>
    <xf numFmtId="0" fontId="0" fillId="3" borderId="61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2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12" borderId="2" xfId="0" applyFill="1" applyBorder="1" applyAlignment="1">
      <alignment horizontal="center" wrapText="1"/>
    </xf>
    <xf numFmtId="0" fontId="0" fillId="11" borderId="34" xfId="0" applyFill="1" applyBorder="1" applyAlignment="1">
      <alignment horizontal="center" wrapText="1"/>
    </xf>
    <xf numFmtId="0" fontId="0" fillId="11" borderId="61" xfId="0" applyFill="1" applyBorder="1" applyAlignment="1">
      <alignment horizontal="center" wrapText="1"/>
    </xf>
    <xf numFmtId="0" fontId="0" fillId="11" borderId="3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4" borderId="38" xfId="0" applyFill="1" applyBorder="1" applyAlignment="1">
      <alignment horizontal="center" wrapText="1"/>
    </xf>
    <xf numFmtId="0" fontId="0" fillId="10" borderId="2" xfId="0" applyFill="1" applyBorder="1" applyAlignment="1">
      <alignment horizontal="center" wrapText="1"/>
    </xf>
    <xf numFmtId="0" fontId="0" fillId="10" borderId="61" xfId="0" applyFill="1" applyBorder="1" applyAlignment="1">
      <alignment horizontal="center" wrapText="1"/>
    </xf>
    <xf numFmtId="0" fontId="0" fillId="10" borderId="62" xfId="0" applyFill="1" applyBorder="1" applyAlignment="1">
      <alignment horizontal="center" wrapText="1"/>
    </xf>
    <xf numFmtId="0" fontId="0" fillId="9" borderId="61" xfId="0" applyFill="1" applyBorder="1" applyAlignment="1">
      <alignment horizontal="center"/>
    </xf>
    <xf numFmtId="0" fontId="0" fillId="9" borderId="6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12" borderId="51" xfId="0" applyFill="1" applyBorder="1" applyAlignment="1">
      <alignment horizontal="center"/>
    </xf>
    <xf numFmtId="0" fontId="0" fillId="11" borderId="40" xfId="0" applyFill="1" applyBorder="1" applyAlignment="1">
      <alignment horizontal="center"/>
    </xf>
    <xf numFmtId="0" fontId="1" fillId="0" borderId="63" xfId="0" applyFont="1" applyBorder="1" applyAlignment="1">
      <alignment horizontal="center" wrapText="1"/>
    </xf>
    <xf numFmtId="0" fontId="0" fillId="12" borderId="64" xfId="0" applyFill="1" applyBorder="1" applyAlignment="1">
      <alignment horizontal="center"/>
    </xf>
    <xf numFmtId="0" fontId="0" fillId="11" borderId="65" xfId="0" applyFill="1" applyBorder="1" applyAlignment="1">
      <alignment horizontal="center"/>
    </xf>
    <xf numFmtId="0" fontId="0" fillId="11" borderId="66" xfId="0" applyFill="1" applyBorder="1" applyAlignment="1">
      <alignment horizontal="center"/>
    </xf>
    <xf numFmtId="0" fontId="0" fillId="6" borderId="63" xfId="0" applyFill="1" applyBorder="1" applyAlignment="1">
      <alignment horizontal="center"/>
    </xf>
    <xf numFmtId="0" fontId="0" fillId="4" borderId="67" xfId="0" applyFill="1" applyBorder="1" applyAlignment="1">
      <alignment horizontal="center"/>
    </xf>
    <xf numFmtId="0" fontId="0" fillId="10" borderId="65" xfId="0" applyFill="1" applyBorder="1" applyAlignment="1">
      <alignment horizontal="center"/>
    </xf>
    <xf numFmtId="0" fontId="0" fillId="10" borderId="66" xfId="0" applyFill="1" applyBorder="1" applyAlignment="1">
      <alignment horizontal="center"/>
    </xf>
    <xf numFmtId="0" fontId="0" fillId="4" borderId="63" xfId="0" applyFill="1" applyBorder="1" applyAlignment="1">
      <alignment horizontal="center"/>
    </xf>
    <xf numFmtId="0" fontId="0" fillId="9" borderId="66" xfId="0" applyFill="1" applyBorder="1" applyAlignment="1">
      <alignment horizontal="center"/>
    </xf>
    <xf numFmtId="0" fontId="0" fillId="0" borderId="26" xfId="0" applyBorder="1" applyAlignment="1">
      <alignment horizontal="center"/>
    </xf>
    <xf numFmtId="165" fontId="0" fillId="4" borderId="17" xfId="0" applyNumberFormat="1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18" fontId="0" fillId="4" borderId="15" xfId="0" applyNumberFormat="1" applyFill="1" applyBorder="1" applyAlignment="1">
      <alignment horizontal="center"/>
    </xf>
    <xf numFmtId="0" fontId="0" fillId="4" borderId="68" xfId="0" applyFill="1" applyBorder="1" applyAlignment="1">
      <alignment horizontal="center"/>
    </xf>
    <xf numFmtId="0" fontId="0" fillId="4" borderId="69" xfId="0" applyFill="1" applyBorder="1" applyAlignment="1">
      <alignment horizontal="center"/>
    </xf>
    <xf numFmtId="165" fontId="0" fillId="9" borderId="17" xfId="0" applyNumberFormat="1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18" fontId="0" fillId="9" borderId="15" xfId="0" applyNumberFormat="1" applyFill="1" applyBorder="1" applyAlignment="1">
      <alignment horizontal="center"/>
    </xf>
    <xf numFmtId="0" fontId="0" fillId="9" borderId="68" xfId="0" applyFill="1" applyBorder="1" applyAlignment="1">
      <alignment horizontal="center"/>
    </xf>
    <xf numFmtId="0" fontId="0" fillId="9" borderId="69" xfId="0" applyFill="1" applyBorder="1" applyAlignment="1">
      <alignment horizontal="center"/>
    </xf>
    <xf numFmtId="0" fontId="0" fillId="9" borderId="38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18" fontId="0" fillId="6" borderId="12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0" fillId="6" borderId="2" xfId="0" applyFill="1" applyBorder="1" applyAlignment="1">
      <alignment horizontal="center" wrapText="1"/>
    </xf>
    <xf numFmtId="0" fontId="0" fillId="2" borderId="5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18" fontId="0" fillId="6" borderId="15" xfId="0" applyNumberFormat="1" applyFill="1" applyBorder="1" applyAlignment="1">
      <alignment horizontal="center"/>
    </xf>
    <xf numFmtId="0" fontId="0" fillId="6" borderId="69" xfId="0" applyFill="1" applyBorder="1" applyAlignment="1">
      <alignment horizontal="center"/>
    </xf>
    <xf numFmtId="0" fontId="0" fillId="6" borderId="38" xfId="0" applyFill="1" applyBorder="1" applyAlignment="1">
      <alignment horizontal="center" wrapText="1"/>
    </xf>
    <xf numFmtId="165" fontId="0" fillId="6" borderId="20" xfId="0" applyNumberFormat="1" applyFill="1" applyBorder="1" applyAlignment="1">
      <alignment horizontal="center"/>
    </xf>
    <xf numFmtId="165" fontId="0" fillId="6" borderId="44" xfId="0" applyNumberFormat="1" applyFill="1" applyBorder="1" applyAlignment="1">
      <alignment horizontal="center"/>
    </xf>
    <xf numFmtId="0" fontId="0" fillId="3" borderId="62" xfId="0" applyFill="1" applyBorder="1" applyAlignment="1">
      <alignment horizontal="center" wrapText="1"/>
    </xf>
    <xf numFmtId="0" fontId="0" fillId="3" borderId="55" xfId="0" applyFill="1" applyBorder="1" applyAlignment="1">
      <alignment horizontal="center" wrapText="1"/>
    </xf>
    <xf numFmtId="0" fontId="0" fillId="11" borderId="35" xfId="0" applyFill="1" applyBorder="1" applyAlignment="1">
      <alignment horizontal="center"/>
    </xf>
    <xf numFmtId="0" fontId="0" fillId="11" borderId="59" xfId="0" applyFill="1" applyBorder="1" applyAlignment="1">
      <alignment horizontal="center"/>
    </xf>
    <xf numFmtId="0" fontId="0" fillId="11" borderId="62" xfId="0" applyFill="1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6" borderId="65" xfId="0" applyFill="1" applyBorder="1" applyAlignment="1">
      <alignment horizontal="center"/>
    </xf>
    <xf numFmtId="0" fontId="0" fillId="6" borderId="68" xfId="0" applyFill="1" applyBorder="1" applyAlignment="1">
      <alignment horizontal="center"/>
    </xf>
    <xf numFmtId="165" fontId="0" fillId="11" borderId="44" xfId="0" applyNumberFormat="1" applyFill="1" applyBorder="1" applyAlignment="1">
      <alignment horizontal="center"/>
    </xf>
    <xf numFmtId="18" fontId="0" fillId="11" borderId="45" xfId="0" applyNumberFormat="1" applyFill="1" applyBorder="1" applyAlignment="1">
      <alignment horizontal="center"/>
    </xf>
    <xf numFmtId="0" fontId="0" fillId="11" borderId="72" xfId="0" applyFill="1" applyBorder="1" applyAlignment="1">
      <alignment horizontal="center"/>
    </xf>
    <xf numFmtId="18" fontId="0" fillId="2" borderId="12" xfId="0" applyNumberFormat="1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70" xfId="0" applyFill="1" applyBorder="1" applyAlignment="1">
      <alignment horizontal="center"/>
    </xf>
    <xf numFmtId="0" fontId="0" fillId="2" borderId="5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165" fontId="0" fillId="2" borderId="20" xfId="0" applyNumberFormat="1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57" xfId="0" applyFill="1" applyBorder="1" applyAlignment="1">
      <alignment horizontal="center"/>
    </xf>
    <xf numFmtId="0" fontId="0" fillId="2" borderId="61" xfId="0" applyFill="1" applyBorder="1" applyAlignment="1">
      <alignment horizontal="center" wrapText="1"/>
    </xf>
    <xf numFmtId="0" fontId="0" fillId="2" borderId="39" xfId="0" applyFill="1" applyBorder="1" applyAlignment="1">
      <alignment horizontal="center"/>
    </xf>
    <xf numFmtId="18" fontId="0" fillId="2" borderId="15" xfId="0" applyNumberFormat="1" applyFill="1" applyBorder="1" applyAlignment="1">
      <alignment horizontal="center"/>
    </xf>
    <xf numFmtId="0" fontId="0" fillId="2" borderId="68" xfId="0" applyFill="1" applyBorder="1" applyAlignment="1">
      <alignment horizontal="center"/>
    </xf>
    <xf numFmtId="0" fontId="0" fillId="2" borderId="69" xfId="0" applyFill="1" applyBorder="1" applyAlignment="1">
      <alignment horizontal="center"/>
    </xf>
    <xf numFmtId="0" fontId="0" fillId="2" borderId="38" xfId="0" applyFill="1" applyBorder="1" applyAlignment="1">
      <alignment horizontal="center" wrapText="1"/>
    </xf>
    <xf numFmtId="165" fontId="0" fillId="11" borderId="11" xfId="0" applyNumberFormat="1" applyFill="1" applyBorder="1" applyAlignment="1">
      <alignment horizontal="center"/>
    </xf>
    <xf numFmtId="0" fontId="0" fillId="11" borderId="55" xfId="0" applyFill="1" applyBorder="1" applyAlignment="1">
      <alignment horizontal="center"/>
    </xf>
    <xf numFmtId="0" fontId="0" fillId="11" borderId="2" xfId="0" applyFill="1" applyBorder="1" applyAlignment="1">
      <alignment horizontal="center" wrapText="1"/>
    </xf>
    <xf numFmtId="165" fontId="0" fillId="4" borderId="9" xfId="0" applyNumberFormat="1" applyFill="1" applyBorder="1" applyAlignment="1">
      <alignment horizontal="center"/>
    </xf>
    <xf numFmtId="0" fontId="0" fillId="4" borderId="47" xfId="0" applyFill="1" applyBorder="1" applyAlignment="1">
      <alignment horizontal="center"/>
    </xf>
    <xf numFmtId="18" fontId="0" fillId="4" borderId="7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71" xfId="0" applyFill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0" fillId="4" borderId="3" xfId="0" applyFill="1" applyBorder="1" applyAlignment="1">
      <alignment horizontal="center" wrapText="1"/>
    </xf>
    <xf numFmtId="165" fontId="0" fillId="2" borderId="16" xfId="0" applyNumberFormat="1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18" fontId="0" fillId="2" borderId="14" xfId="0" applyNumberFormat="1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2" borderId="34" xfId="0" applyFill="1" applyBorder="1" applyAlignment="1">
      <alignment horizontal="center" wrapText="1"/>
    </xf>
    <xf numFmtId="165" fontId="0" fillId="9" borderId="11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18" fontId="0" fillId="9" borderId="12" xfId="0" applyNumberFormat="1" applyFill="1" applyBorder="1" applyAlignment="1">
      <alignment horizontal="center"/>
    </xf>
    <xf numFmtId="0" fontId="0" fillId="9" borderId="65" xfId="0" applyFill="1" applyBorder="1" applyAlignment="1">
      <alignment horizontal="center"/>
    </xf>
    <xf numFmtId="0" fontId="0" fillId="9" borderId="55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8" borderId="73" xfId="0" applyFill="1" applyBorder="1"/>
    <xf numFmtId="0" fontId="0" fillId="8" borderId="50" xfId="0" applyFill="1" applyBorder="1"/>
    <xf numFmtId="0" fontId="0" fillId="8" borderId="74" xfId="0" applyFill="1" applyBorder="1"/>
    <xf numFmtId="0" fontId="0" fillId="8" borderId="53" xfId="0" applyFill="1" applyBorder="1"/>
    <xf numFmtId="0" fontId="0" fillId="8" borderId="49" xfId="0" applyFill="1" applyBorder="1"/>
    <xf numFmtId="165" fontId="0" fillId="6" borderId="8" xfId="0" applyNumberFormat="1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18" fontId="0" fillId="6" borderId="6" xfId="0" applyNumberFormat="1" applyFill="1" applyBorder="1" applyAlignment="1">
      <alignment horizontal="center"/>
    </xf>
    <xf numFmtId="0" fontId="0" fillId="6" borderId="75" xfId="0" applyFill="1" applyBorder="1" applyAlignment="1">
      <alignment horizontal="center"/>
    </xf>
    <xf numFmtId="0" fontId="0" fillId="6" borderId="70" xfId="0" applyFill="1" applyBorder="1" applyAlignment="1">
      <alignment horizontal="center"/>
    </xf>
    <xf numFmtId="0" fontId="0" fillId="6" borderId="5" xfId="0" applyFill="1" applyBorder="1" applyAlignment="1">
      <alignment horizontal="center" wrapText="1"/>
    </xf>
    <xf numFmtId="0" fontId="0" fillId="4" borderId="36" xfId="0" applyFill="1" applyBorder="1" applyAlignment="1">
      <alignment horizontal="center"/>
    </xf>
    <xf numFmtId="18" fontId="0" fillId="4" borderId="6" xfId="0" applyNumberFormat="1" applyFill="1" applyBorder="1" applyAlignment="1">
      <alignment horizontal="center"/>
    </xf>
    <xf numFmtId="0" fontId="0" fillId="4" borderId="75" xfId="0" applyFill="1" applyBorder="1" applyAlignment="1">
      <alignment horizontal="center"/>
    </xf>
    <xf numFmtId="0" fontId="0" fillId="4" borderId="70" xfId="0" applyFill="1" applyBorder="1" applyAlignment="1">
      <alignment horizontal="center"/>
    </xf>
    <xf numFmtId="165" fontId="0" fillId="10" borderId="9" xfId="0" applyNumberFormat="1" applyFill="1" applyBorder="1" applyAlignment="1">
      <alignment horizontal="center"/>
    </xf>
    <xf numFmtId="0" fontId="0" fillId="10" borderId="47" xfId="0" applyFill="1" applyBorder="1" applyAlignment="1">
      <alignment horizontal="center"/>
    </xf>
    <xf numFmtId="18" fontId="0" fillId="10" borderId="7" xfId="0" applyNumberForma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7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10" borderId="3" xfId="0" applyFill="1" applyBorder="1" applyAlignment="1">
      <alignment horizontal="center" wrapText="1"/>
    </xf>
    <xf numFmtId="0" fontId="0" fillId="3" borderId="69" xfId="0" applyFill="1" applyBorder="1" applyAlignment="1">
      <alignment horizontal="center" wrapText="1"/>
    </xf>
    <xf numFmtId="165" fontId="0" fillId="11" borderId="8" xfId="0" applyNumberFormat="1" applyFill="1" applyBorder="1" applyAlignment="1">
      <alignment horizontal="center"/>
    </xf>
    <xf numFmtId="0" fontId="0" fillId="11" borderId="36" xfId="0" applyFill="1" applyBorder="1" applyAlignment="1">
      <alignment horizontal="center"/>
    </xf>
    <xf numFmtId="18" fontId="0" fillId="11" borderId="6" xfId="0" applyNumberFormat="1" applyFill="1" applyBorder="1" applyAlignment="1">
      <alignment horizontal="center"/>
    </xf>
    <xf numFmtId="0" fontId="0" fillId="11" borderId="75" xfId="0" applyFill="1" applyBorder="1" applyAlignment="1">
      <alignment horizontal="center"/>
    </xf>
    <xf numFmtId="0" fontId="0" fillId="11" borderId="70" xfId="0" applyFill="1" applyBorder="1" applyAlignment="1">
      <alignment horizontal="center"/>
    </xf>
    <xf numFmtId="0" fontId="0" fillId="11" borderId="5" xfId="0" applyFill="1" applyBorder="1" applyAlignment="1">
      <alignment horizontal="center" wrapText="1"/>
    </xf>
    <xf numFmtId="0" fontId="0" fillId="3" borderId="70" xfId="0" applyFill="1" applyBorder="1" applyAlignment="1">
      <alignment horizontal="center" wrapText="1"/>
    </xf>
    <xf numFmtId="165" fontId="0" fillId="11" borderId="17" xfId="0" applyNumberFormat="1" applyFill="1" applyBorder="1" applyAlignment="1">
      <alignment horizontal="center"/>
    </xf>
    <xf numFmtId="0" fontId="0" fillId="11" borderId="39" xfId="0" applyFill="1" applyBorder="1" applyAlignment="1">
      <alignment horizontal="center"/>
    </xf>
    <xf numFmtId="18" fontId="0" fillId="11" borderId="15" xfId="0" applyNumberFormat="1" applyFill="1" applyBorder="1" applyAlignment="1">
      <alignment horizontal="center"/>
    </xf>
    <xf numFmtId="0" fontId="0" fillId="11" borderId="69" xfId="0" applyFill="1" applyBorder="1" applyAlignment="1">
      <alignment horizontal="center"/>
    </xf>
    <xf numFmtId="0" fontId="0" fillId="11" borderId="38" xfId="0" applyFill="1" applyBorder="1" applyAlignment="1">
      <alignment horizontal="center" wrapText="1"/>
    </xf>
    <xf numFmtId="0" fontId="0" fillId="2" borderId="23" xfId="0" applyFill="1" applyBorder="1" applyAlignment="1">
      <alignment horizontal="center"/>
    </xf>
    <xf numFmtId="0" fontId="0" fillId="6" borderId="17" xfId="0" applyFill="1" applyBorder="1"/>
    <xf numFmtId="0" fontId="0" fillId="6" borderId="38" xfId="0" applyFill="1" applyBorder="1" applyAlignment="1">
      <alignment horizontal="center"/>
    </xf>
    <xf numFmtId="0" fontId="0" fillId="6" borderId="18" xfId="0" applyFill="1" applyBorder="1"/>
    <xf numFmtId="0" fontId="0" fillId="6" borderId="1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6" fillId="6" borderId="11" xfId="0" applyFont="1" applyFill="1" applyBorder="1"/>
    <xf numFmtId="0" fontId="6" fillId="6" borderId="1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17" xfId="0" applyFont="1" applyFill="1" applyBorder="1"/>
    <xf numFmtId="0" fontId="6" fillId="6" borderId="15" xfId="0" applyFont="1" applyFill="1" applyBorder="1" applyAlignment="1">
      <alignment horizontal="center"/>
    </xf>
    <xf numFmtId="0" fontId="6" fillId="6" borderId="38" xfId="0" applyFont="1" applyFill="1" applyBorder="1" applyAlignment="1">
      <alignment horizontal="center"/>
    </xf>
    <xf numFmtId="18" fontId="0" fillId="2" borderId="21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8" fontId="0" fillId="4" borderId="45" xfId="0" applyNumberFormat="1" applyFill="1" applyBorder="1" applyAlignment="1">
      <alignment horizontal="center"/>
    </xf>
    <xf numFmtId="0" fontId="0" fillId="4" borderId="72" xfId="0" applyFill="1" applyBorder="1" applyAlignment="1">
      <alignment horizontal="center"/>
    </xf>
    <xf numFmtId="0" fontId="0" fillId="4" borderId="59" xfId="0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0" fillId="2" borderId="36" xfId="0" applyFill="1" applyBorder="1" applyAlignment="1">
      <alignment horizontal="center"/>
    </xf>
    <xf numFmtId="18" fontId="0" fillId="2" borderId="6" xfId="0" applyNumberFormat="1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18" fontId="0" fillId="4" borderId="12" xfId="0" applyNumberFormat="1" applyFill="1" applyBorder="1" applyAlignment="1">
      <alignment horizontal="center"/>
    </xf>
    <xf numFmtId="0" fontId="0" fillId="4" borderId="65" xfId="0" applyFill="1" applyBorder="1" applyAlignment="1">
      <alignment horizontal="center"/>
    </xf>
    <xf numFmtId="0" fontId="0" fillId="4" borderId="55" xfId="0" applyFill="1" applyBorder="1" applyAlignment="1">
      <alignment horizontal="center"/>
    </xf>
    <xf numFmtId="0" fontId="0" fillId="4" borderId="2" xfId="0" applyFill="1" applyBorder="1" applyAlignment="1">
      <alignment horizontal="center" wrapText="1"/>
    </xf>
    <xf numFmtId="0" fontId="0" fillId="10" borderId="72" xfId="0" applyFill="1" applyBorder="1" applyAlignment="1">
      <alignment horizontal="center"/>
    </xf>
    <xf numFmtId="0" fontId="0" fillId="9" borderId="2" xfId="0" applyFill="1" applyBorder="1" applyAlignment="1">
      <alignment horizontal="center" wrapText="1"/>
    </xf>
    <xf numFmtId="165" fontId="0" fillId="9" borderId="8" xfId="0" applyNumberFormat="1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18" fontId="0" fillId="9" borderId="6" xfId="0" applyNumberFormat="1" applyFill="1" applyBorder="1" applyAlignment="1">
      <alignment horizontal="center"/>
    </xf>
    <xf numFmtId="0" fontId="0" fillId="9" borderId="75" xfId="0" applyFill="1" applyBorder="1" applyAlignment="1">
      <alignment horizontal="center"/>
    </xf>
    <xf numFmtId="0" fontId="0" fillId="9" borderId="70" xfId="0" applyFill="1" applyBorder="1" applyAlignment="1">
      <alignment horizontal="center"/>
    </xf>
    <xf numFmtId="0" fontId="0" fillId="9" borderId="5" xfId="0" applyFill="1" applyBorder="1" applyAlignment="1">
      <alignment horizontal="center" wrapText="1"/>
    </xf>
  </cellXfs>
  <cellStyles count="1">
    <cellStyle name="Normal" xfId="0" builtinId="0"/>
  </cellStyles>
  <dxfs count="28"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34998626667073579"/>
      </font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34998626667073579"/>
      </font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4.png"/><Relationship Id="rId4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4.png"/><Relationship Id="rId4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4.png"/><Relationship Id="rId4" Type="http://schemas.openxmlformats.org/officeDocument/2006/relationships/image" Target="../media/image3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4.png"/><Relationship Id="rId4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4.png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67235</xdr:colOff>
      <xdr:row>0</xdr:row>
      <xdr:rowOff>190499</xdr:rowOff>
    </xdr:from>
    <xdr:to>
      <xdr:col>28</xdr:col>
      <xdr:colOff>185237</xdr:colOff>
      <xdr:row>8</xdr:row>
      <xdr:rowOff>190161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7895A9-0321-4EFE-9908-89A338260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07610" y="190499"/>
          <a:ext cx="6471177" cy="1590337"/>
        </a:xfrm>
        <a:prstGeom prst="rect">
          <a:avLst/>
        </a:prstGeom>
      </xdr:spPr>
    </xdr:pic>
    <xdr:clientData/>
  </xdr:twoCellAnchor>
  <xdr:twoCellAnchor editAs="oneCell">
    <xdr:from>
      <xdr:col>17</xdr:col>
      <xdr:colOff>582704</xdr:colOff>
      <xdr:row>12</xdr:row>
      <xdr:rowOff>56029</xdr:rowOff>
    </xdr:from>
    <xdr:to>
      <xdr:col>25</xdr:col>
      <xdr:colOff>558202</xdr:colOff>
      <xdr:row>29</xdr:row>
      <xdr:rowOff>129358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59B168-469E-49AB-8991-18598CE09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3479" y="2437279"/>
          <a:ext cx="5109473" cy="3611587"/>
        </a:xfrm>
        <a:prstGeom prst="rect">
          <a:avLst/>
        </a:prstGeom>
      </xdr:spPr>
    </xdr:pic>
    <xdr:clientData/>
  </xdr:twoCellAnchor>
  <xdr:twoCellAnchor editAs="oneCell">
    <xdr:from>
      <xdr:col>17</xdr:col>
      <xdr:colOff>89648</xdr:colOff>
      <xdr:row>22</xdr:row>
      <xdr:rowOff>100853</xdr:rowOff>
    </xdr:from>
    <xdr:to>
      <xdr:col>27</xdr:col>
      <xdr:colOff>178174</xdr:colOff>
      <xdr:row>41</xdr:row>
      <xdr:rowOff>151280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823C333-C0F8-45D6-BD73-FF613F4B6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20423" y="9378203"/>
          <a:ext cx="6441701" cy="371475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17</xdr:col>
      <xdr:colOff>441917</xdr:colOff>
      <xdr:row>38</xdr:row>
      <xdr:rowOff>14474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E4D2A9-6F29-4694-B643-3FDBE6CB8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83971" y="201706"/>
          <a:ext cx="2873593" cy="74887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104213</xdr:colOff>
      <xdr:row>1</xdr:row>
      <xdr:rowOff>33058</xdr:rowOff>
    </xdr:from>
    <xdr:to>
      <xdr:col>17</xdr:col>
      <xdr:colOff>53071</xdr:colOff>
      <xdr:row>34</xdr:row>
      <xdr:rowOff>58737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886A1C-0AAB-4406-AD15-AFE594B91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1488" y="233083"/>
          <a:ext cx="2891522" cy="7350964"/>
        </a:xfrm>
        <a:prstGeom prst="rect">
          <a:avLst/>
        </a:prstGeom>
      </xdr:spPr>
    </xdr:pic>
    <xdr:clientData/>
  </xdr:twoCellAnchor>
  <xdr:twoCellAnchor editAs="oneCell">
    <xdr:from>
      <xdr:col>18</xdr:col>
      <xdr:colOff>67235</xdr:colOff>
      <xdr:row>0</xdr:row>
      <xdr:rowOff>190499</xdr:rowOff>
    </xdr:from>
    <xdr:to>
      <xdr:col>29</xdr:col>
      <xdr:colOff>577443</xdr:colOff>
      <xdr:row>8</xdr:row>
      <xdr:rowOff>190161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DCA467-0F54-4763-AC99-D03754907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02510" y="190499"/>
          <a:ext cx="6494148" cy="1590337"/>
        </a:xfrm>
        <a:prstGeom prst="rect">
          <a:avLst/>
        </a:prstGeom>
      </xdr:spPr>
    </xdr:pic>
    <xdr:clientData/>
  </xdr:twoCellAnchor>
  <xdr:twoCellAnchor editAs="oneCell">
    <xdr:from>
      <xdr:col>17</xdr:col>
      <xdr:colOff>582704</xdr:colOff>
      <xdr:row>12</xdr:row>
      <xdr:rowOff>56029</xdr:rowOff>
    </xdr:from>
    <xdr:to>
      <xdr:col>27</xdr:col>
      <xdr:colOff>345290</xdr:colOff>
      <xdr:row>27</xdr:row>
      <xdr:rowOff>140563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8537E1-5683-482B-84D2-47C66F04C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88116" y="2442882"/>
          <a:ext cx="5096586" cy="3625594"/>
        </a:xfrm>
        <a:prstGeom prst="rect">
          <a:avLst/>
        </a:prstGeom>
      </xdr:spPr>
    </xdr:pic>
    <xdr:clientData/>
  </xdr:twoCellAnchor>
  <xdr:twoCellAnchor editAs="oneCell">
    <xdr:from>
      <xdr:col>17</xdr:col>
      <xdr:colOff>582706</xdr:colOff>
      <xdr:row>27</xdr:row>
      <xdr:rowOff>179294</xdr:rowOff>
    </xdr:from>
    <xdr:to>
      <xdr:col>29</xdr:col>
      <xdr:colOff>458321</xdr:colOff>
      <xdr:row>45</xdr:row>
      <xdr:rowOff>16809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50F1BD-670D-4CBF-B9D3-9E9719CC6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91412" y="6129618"/>
          <a:ext cx="6419850" cy="3714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104213</xdr:colOff>
      <xdr:row>1</xdr:row>
      <xdr:rowOff>33058</xdr:rowOff>
    </xdr:from>
    <xdr:to>
      <xdr:col>13</xdr:col>
      <xdr:colOff>557335</xdr:colOff>
      <xdr:row>37</xdr:row>
      <xdr:rowOff>114767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114545-40FD-4D6F-AD39-E915567E3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3125" y="234764"/>
          <a:ext cx="2873593" cy="7365532"/>
        </a:xfrm>
        <a:prstGeom prst="rect">
          <a:avLst/>
        </a:prstGeom>
      </xdr:spPr>
    </xdr:pic>
    <xdr:clientData/>
  </xdr:twoCellAnchor>
  <xdr:twoCellAnchor editAs="oneCell">
    <xdr:from>
      <xdr:col>14</xdr:col>
      <xdr:colOff>67235</xdr:colOff>
      <xdr:row>0</xdr:row>
      <xdr:rowOff>190499</xdr:rowOff>
    </xdr:from>
    <xdr:to>
      <xdr:col>24</xdr:col>
      <xdr:colOff>465383</xdr:colOff>
      <xdr:row>8</xdr:row>
      <xdr:rowOff>190161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0BEBA9-3A3B-4C71-BD20-4BE155656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11735" y="190499"/>
          <a:ext cx="6449325" cy="1590897"/>
        </a:xfrm>
        <a:prstGeom prst="rect">
          <a:avLst/>
        </a:prstGeom>
      </xdr:spPr>
    </xdr:pic>
    <xdr:clientData/>
  </xdr:twoCellAnchor>
  <xdr:twoCellAnchor editAs="oneCell">
    <xdr:from>
      <xdr:col>14</xdr:col>
      <xdr:colOff>190499</xdr:colOff>
      <xdr:row>11</xdr:row>
      <xdr:rowOff>67235</xdr:rowOff>
    </xdr:from>
    <xdr:to>
      <xdr:col>22</xdr:col>
      <xdr:colOff>446144</xdr:colOff>
      <xdr:row>28</xdr:row>
      <xdr:rowOff>39712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AD1F20-7058-4A70-993E-6B6AF20C8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4999" y="2252382"/>
          <a:ext cx="5096586" cy="3524742"/>
        </a:xfrm>
        <a:prstGeom prst="rect">
          <a:avLst/>
        </a:prstGeom>
      </xdr:spPr>
    </xdr:pic>
    <xdr:clientData/>
  </xdr:twoCellAnchor>
  <xdr:twoCellAnchor editAs="oneCell">
    <xdr:from>
      <xdr:col>13</xdr:col>
      <xdr:colOff>89648</xdr:colOff>
      <xdr:row>46</xdr:row>
      <xdr:rowOff>100853</xdr:rowOff>
    </xdr:from>
    <xdr:to>
      <xdr:col>23</xdr:col>
      <xdr:colOff>458322</xdr:colOff>
      <xdr:row>66</xdr:row>
      <xdr:rowOff>5603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BFAA0D4-ECB4-40DF-B9E0-2E0C11223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53123" y="8930528"/>
          <a:ext cx="6464673" cy="3714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104213</xdr:colOff>
      <xdr:row>1</xdr:row>
      <xdr:rowOff>33058</xdr:rowOff>
    </xdr:from>
    <xdr:to>
      <xdr:col>16</xdr:col>
      <xdr:colOff>557335</xdr:colOff>
      <xdr:row>37</xdr:row>
      <xdr:rowOff>114767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2889AA-CF8B-4A0B-9991-669B2B66E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188" y="233083"/>
          <a:ext cx="2891522" cy="7349284"/>
        </a:xfrm>
        <a:prstGeom prst="rect">
          <a:avLst/>
        </a:prstGeom>
      </xdr:spPr>
    </xdr:pic>
    <xdr:clientData/>
  </xdr:twoCellAnchor>
  <xdr:twoCellAnchor editAs="oneCell">
    <xdr:from>
      <xdr:col>17</xdr:col>
      <xdr:colOff>67235</xdr:colOff>
      <xdr:row>0</xdr:row>
      <xdr:rowOff>190499</xdr:rowOff>
    </xdr:from>
    <xdr:to>
      <xdr:col>27</xdr:col>
      <xdr:colOff>465383</xdr:colOff>
      <xdr:row>8</xdr:row>
      <xdr:rowOff>190161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48EC2F-C033-40BD-8C36-FDD77C6B0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45210" y="190499"/>
          <a:ext cx="6494148" cy="1590337"/>
        </a:xfrm>
        <a:prstGeom prst="rect">
          <a:avLst/>
        </a:prstGeom>
      </xdr:spPr>
    </xdr:pic>
    <xdr:clientData/>
  </xdr:twoCellAnchor>
  <xdr:twoCellAnchor editAs="oneCell">
    <xdr:from>
      <xdr:col>17</xdr:col>
      <xdr:colOff>190499</xdr:colOff>
      <xdr:row>11</xdr:row>
      <xdr:rowOff>67235</xdr:rowOff>
    </xdr:from>
    <xdr:to>
      <xdr:col>25</xdr:col>
      <xdr:colOff>446144</xdr:colOff>
      <xdr:row>28</xdr:row>
      <xdr:rowOff>39712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C60427-B6DF-4787-A5FD-0D5D2286C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68474" y="2248460"/>
          <a:ext cx="5132444" cy="3515777"/>
        </a:xfrm>
        <a:prstGeom prst="rect">
          <a:avLst/>
        </a:prstGeom>
      </xdr:spPr>
    </xdr:pic>
    <xdr:clientData/>
  </xdr:twoCellAnchor>
  <xdr:twoCellAnchor editAs="oneCell">
    <xdr:from>
      <xdr:col>16</xdr:col>
      <xdr:colOff>89648</xdr:colOff>
      <xdr:row>50</xdr:row>
      <xdr:rowOff>100853</xdr:rowOff>
    </xdr:from>
    <xdr:to>
      <xdr:col>26</xdr:col>
      <xdr:colOff>458322</xdr:colOff>
      <xdr:row>70</xdr:row>
      <xdr:rowOff>5603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2803DA-6C87-4C33-B73C-EB1AA1BA6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8023" y="9311528"/>
          <a:ext cx="6464674" cy="3714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496421</xdr:colOff>
      <xdr:row>1</xdr:row>
      <xdr:rowOff>212351</xdr:rowOff>
    </xdr:from>
    <xdr:to>
      <xdr:col>12</xdr:col>
      <xdr:colOff>344426</xdr:colOff>
      <xdr:row>37</xdr:row>
      <xdr:rowOff>125971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E70F85-CF64-3465-6127-75AA42B4A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6480" y="414057"/>
          <a:ext cx="2873593" cy="7365532"/>
        </a:xfrm>
        <a:prstGeom prst="rect">
          <a:avLst/>
        </a:prstGeom>
      </xdr:spPr>
    </xdr:pic>
    <xdr:clientData/>
  </xdr:twoCellAnchor>
  <xdr:twoCellAnchor editAs="oneCell">
    <xdr:from>
      <xdr:col>13</xdr:col>
      <xdr:colOff>11206</xdr:colOff>
      <xdr:row>3</xdr:row>
      <xdr:rowOff>67235</xdr:rowOff>
    </xdr:from>
    <xdr:to>
      <xdr:col>23</xdr:col>
      <xdr:colOff>409354</xdr:colOff>
      <xdr:row>11</xdr:row>
      <xdr:rowOff>78103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9511A8-59A3-933B-4970-0FC1661C5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98206" y="683559"/>
          <a:ext cx="6449325" cy="1590897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12</xdr:row>
      <xdr:rowOff>302559</xdr:rowOff>
    </xdr:from>
    <xdr:to>
      <xdr:col>21</xdr:col>
      <xdr:colOff>255645</xdr:colOff>
      <xdr:row>30</xdr:row>
      <xdr:rowOff>174183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C6AE75-BE7D-71AE-0B17-1BDC0B020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76530" y="2947147"/>
          <a:ext cx="5096586" cy="352474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23</xdr:col>
      <xdr:colOff>368673</xdr:colOff>
      <xdr:row>50</xdr:row>
      <xdr:rowOff>50427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CFAB67-5F49-ACE2-FAC4-FFF737039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6529" y="6488206"/>
          <a:ext cx="6419850" cy="3714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14567</xdr:colOff>
      <xdr:row>1</xdr:row>
      <xdr:rowOff>33058</xdr:rowOff>
    </xdr:from>
    <xdr:to>
      <xdr:col>12</xdr:col>
      <xdr:colOff>467689</xdr:colOff>
      <xdr:row>37</xdr:row>
      <xdr:rowOff>170796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DC9A03-9D61-411B-8315-64CB1A47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5126" y="234764"/>
          <a:ext cx="2873593" cy="7365532"/>
        </a:xfrm>
        <a:prstGeom prst="rect">
          <a:avLst/>
        </a:prstGeom>
      </xdr:spPr>
    </xdr:pic>
    <xdr:clientData/>
  </xdr:twoCellAnchor>
  <xdr:twoCellAnchor editAs="oneCell">
    <xdr:from>
      <xdr:col>12</xdr:col>
      <xdr:colOff>582706</xdr:colOff>
      <xdr:row>0</xdr:row>
      <xdr:rowOff>190499</xdr:rowOff>
    </xdr:from>
    <xdr:to>
      <xdr:col>23</xdr:col>
      <xdr:colOff>375737</xdr:colOff>
      <xdr:row>8</xdr:row>
      <xdr:rowOff>190161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63C000-96AA-41F5-816C-B48500EDC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3735" y="190499"/>
          <a:ext cx="6449325" cy="1590897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22413</xdr:colOff>
      <xdr:row>11</xdr:row>
      <xdr:rowOff>168088</xdr:rowOff>
    </xdr:from>
    <xdr:to>
      <xdr:col>21</xdr:col>
      <xdr:colOff>278058</xdr:colOff>
      <xdr:row>28</xdr:row>
      <xdr:rowOff>162977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0A881D-13A3-E4DA-546B-5D920389A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10148" y="2353235"/>
          <a:ext cx="5096586" cy="3524742"/>
        </a:xfrm>
        <a:prstGeom prst="rect">
          <a:avLst/>
        </a:prstGeom>
      </xdr:spPr>
    </xdr:pic>
    <xdr:clientData/>
  </xdr:twoCellAnchor>
  <xdr:twoCellAnchor editAs="oneCell">
    <xdr:from>
      <xdr:col>13</xdr:col>
      <xdr:colOff>44824</xdr:colOff>
      <xdr:row>29</xdr:row>
      <xdr:rowOff>33618</xdr:rowOff>
    </xdr:from>
    <xdr:to>
      <xdr:col>23</xdr:col>
      <xdr:colOff>413497</xdr:colOff>
      <xdr:row>48</xdr:row>
      <xdr:rowOff>128868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1CF63A-88E2-4D88-87DA-A902745DE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2559" y="5939118"/>
          <a:ext cx="6419850" cy="3714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1213-B148-403C-9F48-0EB30902282E}">
  <dimension ref="B1:W50"/>
  <sheetViews>
    <sheetView zoomScale="85" zoomScaleNormal="85" workbookViewId="0">
      <pane ySplit="13" topLeftCell="A14" activePane="bottomLeft" state="frozen"/>
      <selection pane="bottomLeft"/>
    </sheetView>
  </sheetViews>
  <sheetFormatPr defaultRowHeight="15"/>
  <cols>
    <col min="2" max="2" width="23" bestFit="1" customWidth="1"/>
    <col min="3" max="3" width="13.140625" bestFit="1" customWidth="1"/>
    <col min="4" max="4" width="11.7109375" bestFit="1" customWidth="1"/>
    <col min="5" max="5" width="12.28515625" bestFit="1" customWidth="1"/>
    <col min="6" max="6" width="11.7109375" customWidth="1"/>
    <col min="7" max="7" width="11.5703125" bestFit="1" customWidth="1"/>
    <col min="8" max="8" width="18.85546875" bestFit="1" customWidth="1"/>
    <col min="9" max="9" width="18.85546875" customWidth="1"/>
    <col min="10" max="10" width="18" bestFit="1" customWidth="1"/>
    <col min="11" max="11" width="57" bestFit="1" customWidth="1"/>
    <col min="12" max="12" width="13.42578125" bestFit="1" customWidth="1"/>
    <col min="14" max="14" width="16.5703125" bestFit="1" customWidth="1"/>
    <col min="15" max="15" width="5.85546875" bestFit="1" customWidth="1"/>
    <col min="16" max="16" width="4.85546875" bestFit="1" customWidth="1"/>
    <col min="19" max="19" width="13.140625" customWidth="1"/>
    <col min="21" max="21" width="16.5703125" bestFit="1" customWidth="1"/>
    <col min="22" max="22" width="5.85546875" bestFit="1" customWidth="1"/>
    <col min="23" max="23" width="4.85546875" bestFit="1" customWidth="1"/>
  </cols>
  <sheetData>
    <row r="1" spans="2:12" ht="15.75" thickBot="1"/>
    <row r="2" spans="2:12" ht="18" thickBot="1">
      <c r="B2" s="16" t="s">
        <v>17</v>
      </c>
      <c r="C2" s="17" t="s">
        <v>0</v>
      </c>
      <c r="D2" s="17" t="s">
        <v>26</v>
      </c>
      <c r="E2" s="18" t="s">
        <v>12</v>
      </c>
      <c r="K2" cm="1">
        <f t="array" aca="1" ref="K2" ca="1">INT(_xlfn.TEXTAFTER(CELL("filename", A1), "]"))</f>
        <v>2027</v>
      </c>
    </row>
    <row r="3" spans="2:12">
      <c r="B3" s="4" t="s">
        <v>6</v>
      </c>
      <c r="C3" s="3">
        <f ca="1">IF(K2 &lt;= O44, P41, IF(AND(K2 &gt;= O45, K2 &lt; O50), P45, IF(MOD(K2 - O41, 10) = 0, P50 + 80, P50)))</f>
        <v>160</v>
      </c>
      <c r="D3" s="3">
        <f ca="1">SUM(C3 + C4) - E3</f>
        <v>56</v>
      </c>
      <c r="E3" s="1">
        <f ca="1">SUM(C3 + C4) - C6 - SUMIF(H14:H19, "PTO", G14:G19)</f>
        <v>124</v>
      </c>
      <c r="K3" s="56" t="str">
        <f ca="1">"PTO Reset: 02/12/" &amp; INT(K2) + 1</f>
        <v>PTO Reset: 02/12/2028</v>
      </c>
    </row>
    <row r="4" spans="2:12">
      <c r="B4" s="5" t="s">
        <v>38</v>
      </c>
      <c r="C4" s="2" cm="1">
        <f t="array" aca="1" ref="C4" ca="1">IF((RIGHT(CELL("filename", A2), LEN(CELL("filename", A2)) - SEARCH("]", CELL("filename", A2)))) &lt;&gt; "Template", (INDIRECT("'" &amp; (RIGHT(CELL("filename", A2), LEN(CELL("filename", A2)) - SEARCH("]", CELL("filename", A2)))) - 1 &amp; "'!E3")) + (INDIRECT("'" &amp; (RIGHT(CELL("filename", A3), LEN(CELL("filename", A3)) - SEARCH("]", CELL("filename",A3)))) - 1 &amp; "'!E6")), 0)</f>
        <v>20.000000000000007</v>
      </c>
      <c r="D4" s="74"/>
      <c r="E4" s="75"/>
    </row>
    <row r="5" spans="2:12" ht="15.75" thickBot="1">
      <c r="B5" s="6" t="s">
        <v>5</v>
      </c>
      <c r="C5" s="7">
        <f ca="1">SUM(C3 + C4) / 8</f>
        <v>22.5</v>
      </c>
      <c r="D5" s="7">
        <f ca="1">D3 / 8</f>
        <v>7</v>
      </c>
      <c r="E5" s="8">
        <f ca="1">E3 / 8</f>
        <v>15.5</v>
      </c>
    </row>
    <row r="6" spans="2:12">
      <c r="B6" s="9" t="s">
        <v>15</v>
      </c>
      <c r="C6" s="10">
        <v>40</v>
      </c>
      <c r="D6" s="10">
        <f>C6  -E6</f>
        <v>0</v>
      </c>
      <c r="E6" s="11">
        <f>C6 - SUMIF(H14:H19, "Sick", G14:G19)</f>
        <v>40</v>
      </c>
    </row>
    <row r="7" spans="2:12" ht="15.75" thickBot="1">
      <c r="B7" s="12" t="s">
        <v>16</v>
      </c>
      <c r="C7" s="13">
        <f>C6 / 8</f>
        <v>5</v>
      </c>
      <c r="D7" s="13">
        <f>D6 / 8</f>
        <v>0</v>
      </c>
      <c r="E7" s="14">
        <f>E6 / 8</f>
        <v>5</v>
      </c>
    </row>
    <row r="8" spans="2:12">
      <c r="B8" s="5" t="s">
        <v>7</v>
      </c>
      <c r="C8" s="2">
        <v>16</v>
      </c>
      <c r="D8" s="2">
        <f>C8 - E8</f>
        <v>0</v>
      </c>
      <c r="E8" s="1">
        <f>C8 - SUMIF(H14:H19, "Be You", G14:G19)</f>
        <v>16</v>
      </c>
      <c r="K8" s="51"/>
    </row>
    <row r="9" spans="2:12" ht="15.75" thickBot="1">
      <c r="B9" s="6" t="s">
        <v>8</v>
      </c>
      <c r="C9" s="7">
        <f>C8 / 8</f>
        <v>2</v>
      </c>
      <c r="D9" s="7">
        <f>D8 / 8</f>
        <v>0</v>
      </c>
      <c r="E9" s="15">
        <f>E8 / 8</f>
        <v>2</v>
      </c>
    </row>
    <row r="10" spans="2:12">
      <c r="B10" s="127" t="s">
        <v>22</v>
      </c>
      <c r="C10" s="128">
        <v>4</v>
      </c>
      <c r="D10" s="128">
        <f>C10 - E10</f>
        <v>0</v>
      </c>
      <c r="E10" s="129">
        <f>C10 - SUMIF(H14:H19, "Volunteer", G14:G19)</f>
        <v>4</v>
      </c>
      <c r="K10" s="36"/>
    </row>
    <row r="11" spans="2:12" ht="15.75" thickBot="1">
      <c r="B11" s="130" t="s">
        <v>23</v>
      </c>
      <c r="C11" s="131">
        <f>C10 / 8</f>
        <v>0.5</v>
      </c>
      <c r="D11" s="131">
        <f>D10 / 8</f>
        <v>0</v>
      </c>
      <c r="E11" s="132">
        <f>E10 / 8</f>
        <v>0.5</v>
      </c>
      <c r="K11" s="36"/>
    </row>
    <row r="12" spans="2:12" ht="15.75" thickBot="1"/>
    <row r="13" spans="2:12" ht="35.25" thickBot="1">
      <c r="B13" s="28" t="s">
        <v>1</v>
      </c>
      <c r="C13" s="163" t="s">
        <v>48</v>
      </c>
      <c r="D13" s="146" t="s">
        <v>53</v>
      </c>
      <c r="E13" s="146" t="s">
        <v>54</v>
      </c>
      <c r="F13" s="218" t="s">
        <v>57</v>
      </c>
      <c r="G13" s="163" t="s">
        <v>56</v>
      </c>
      <c r="H13" s="178" t="s">
        <v>9</v>
      </c>
      <c r="I13" s="195" t="s">
        <v>21</v>
      </c>
      <c r="J13" s="195" t="s">
        <v>87</v>
      </c>
      <c r="K13" s="203" t="s">
        <v>3</v>
      </c>
      <c r="L13" s="147" t="s">
        <v>47</v>
      </c>
    </row>
    <row r="14" spans="2:12">
      <c r="B14" s="122"/>
      <c r="C14" s="240" t="str">
        <f t="shared" ref="C14:C19" si="0">IF(ISNUMBER(FIND("?", B14, 1)), "TBD", TEXT(B14, "ddd"))</f>
        <v>Sat</v>
      </c>
      <c r="D14" s="241"/>
      <c r="E14" s="241"/>
      <c r="F14" s="257">
        <f>((E14 - D14) * 24)</f>
        <v>0</v>
      </c>
      <c r="G14" s="240">
        <f t="shared" ref="G14:G19" si="1">IF(F14 &gt; 4, (F14 - 1), F14)</f>
        <v>0</v>
      </c>
      <c r="H14" s="242"/>
      <c r="I14" s="196" t="s">
        <v>28</v>
      </c>
      <c r="J14" s="196" t="s">
        <v>28</v>
      </c>
      <c r="K14" s="243"/>
      <c r="L14" s="42" t="str">
        <f t="shared" ref="L14:L19" ca="1" si="2">IF(C14 = "TBD", "TBD", IF(B14 = "", "IDK!!", IF(TODAY() &gt; B14, "Passed", IF(TODAY() = B14, "Today!!", "Upcoming"))))</f>
        <v>IDK!!</v>
      </c>
    </row>
    <row r="15" spans="2:12" ht="15.75" thickBot="1">
      <c r="B15" s="306"/>
      <c r="C15" s="307" t="str">
        <f t="shared" si="0"/>
        <v>Sat</v>
      </c>
      <c r="D15" s="308"/>
      <c r="E15" s="308"/>
      <c r="F15" s="309">
        <f>((E15 - D15) * 24)</f>
        <v>0</v>
      </c>
      <c r="G15" s="307">
        <f>IF(F15 &gt; 4, (F15 - 1), F15)</f>
        <v>0</v>
      </c>
      <c r="H15" s="310"/>
      <c r="I15" s="244" t="s">
        <v>28</v>
      </c>
      <c r="J15" s="244" t="s">
        <v>28</v>
      </c>
      <c r="K15" s="311"/>
      <c r="L15" s="60" t="str">
        <f t="shared" ca="1" si="2"/>
        <v>IDK!!</v>
      </c>
    </row>
    <row r="16" spans="2:12">
      <c r="B16" s="282">
        <v>46717</v>
      </c>
      <c r="C16" s="349" t="str">
        <f t="shared" si="0"/>
        <v>Fri</v>
      </c>
      <c r="D16" s="350">
        <v>0.29166666666666669</v>
      </c>
      <c r="E16" s="350">
        <v>0.66666666666666663</v>
      </c>
      <c r="F16" s="351">
        <f>((E16 - D16) * 24)</f>
        <v>8.9999999999999982</v>
      </c>
      <c r="G16" s="349">
        <f>IF(F16 &gt; 4, (F16 - 1), F16)</f>
        <v>7.9999999999999982</v>
      </c>
      <c r="H16" s="352" t="s">
        <v>4</v>
      </c>
      <c r="I16" s="202" t="s">
        <v>28</v>
      </c>
      <c r="J16" s="321" t="s">
        <v>28</v>
      </c>
      <c r="K16" s="288" t="s">
        <v>89</v>
      </c>
      <c r="L16" s="251" t="str">
        <f t="shared" ca="1" si="2"/>
        <v>Upcoming</v>
      </c>
    </row>
    <row r="17" spans="2:23" ht="15.75" thickBot="1">
      <c r="B17" s="104">
        <v>46720</v>
      </c>
      <c r="C17" s="312" t="str">
        <f>IF(ISNUMBER(FIND("?", B17, 1)), "TBD", TEXT(B17, "ddd"))</f>
        <v>Mon</v>
      </c>
      <c r="D17" s="313">
        <v>0.29166666666666669</v>
      </c>
      <c r="E17" s="313">
        <v>0.66666666666666663</v>
      </c>
      <c r="F17" s="351">
        <f>((E17 - D17) * 24)</f>
        <v>8.9999999999999982</v>
      </c>
      <c r="G17" s="312">
        <f>IF(F17 &gt; 4, (F17 - 1), F17)</f>
        <v>7.9999999999999982</v>
      </c>
      <c r="H17" s="315" t="s">
        <v>4</v>
      </c>
      <c r="I17" s="244" t="s">
        <v>28</v>
      </c>
      <c r="J17" s="244" t="s">
        <v>28</v>
      </c>
      <c r="K17" s="353" t="s">
        <v>89</v>
      </c>
      <c r="L17" s="60" t="str">
        <f ca="1">IF(C17 = "TBD", "TBD", IF(B17 = "", "IDK!!", IF(TODAY() &gt; B17, "Passed", IF(TODAY() = B17, "Today!!", "Upcoming"))))</f>
        <v>Upcoming</v>
      </c>
    </row>
    <row r="18" spans="2:23" ht="15.75" thickBot="1">
      <c r="B18" s="102"/>
      <c r="C18" s="165" t="str">
        <f t="shared" si="0"/>
        <v>Sat</v>
      </c>
      <c r="D18" s="157"/>
      <c r="E18" s="157"/>
      <c r="F18" s="220">
        <f t="shared" ref="F18:F19" si="3">((E18 - D18) * 24)</f>
        <v>0</v>
      </c>
      <c r="G18" s="217">
        <f t="shared" si="1"/>
        <v>0</v>
      </c>
      <c r="H18" s="180"/>
      <c r="I18" s="197" t="s">
        <v>66</v>
      </c>
      <c r="J18" s="197" t="s">
        <v>66</v>
      </c>
      <c r="K18" s="205"/>
      <c r="L18" s="252" t="str">
        <f t="shared" ca="1" si="2"/>
        <v>IDK!!</v>
      </c>
      <c r="U18" s="339" t="s">
        <v>85</v>
      </c>
      <c r="V18" s="340" t="e">
        <f>#REF!+1</f>
        <v>#REF!</v>
      </c>
      <c r="W18" s="341">
        <f>192 + 10</f>
        <v>202</v>
      </c>
    </row>
    <row r="19" spans="2:23" ht="15.75" thickBot="1">
      <c r="B19" s="259"/>
      <c r="C19" s="253" t="str">
        <f t="shared" si="0"/>
        <v>Sat</v>
      </c>
      <c r="D19" s="260"/>
      <c r="E19" s="260"/>
      <c r="F19" s="261">
        <f t="shared" si="3"/>
        <v>0</v>
      </c>
      <c r="G19" s="253">
        <f t="shared" si="1"/>
        <v>0</v>
      </c>
      <c r="H19" s="254"/>
      <c r="I19" s="202" t="s">
        <v>66</v>
      </c>
      <c r="J19" s="202" t="s">
        <v>66</v>
      </c>
      <c r="K19" s="255"/>
      <c r="L19" s="251" t="str">
        <f t="shared" ca="1" si="2"/>
        <v>IDK!!</v>
      </c>
    </row>
    <row r="20" spans="2:23" ht="15.75" thickBot="1">
      <c r="B20" s="86" t="s">
        <v>11</v>
      </c>
      <c r="C20" s="303"/>
      <c r="D20" s="304"/>
      <c r="E20" s="305"/>
      <c r="F20" s="228">
        <f>SUM(F14:F19)</f>
        <v>17.999999999999996</v>
      </c>
      <c r="G20" s="256">
        <f>SUM(G14:G19)</f>
        <v>15.999999999999996</v>
      </c>
      <c r="H20" s="301"/>
      <c r="I20" s="302"/>
      <c r="J20" s="302"/>
      <c r="K20" s="302"/>
      <c r="L20" s="302"/>
    </row>
    <row r="32" spans="2:23" ht="15.75" thickBot="1"/>
    <row r="33" spans="14:21" ht="15.75" thickBot="1">
      <c r="S33" s="336" t="s">
        <v>74</v>
      </c>
      <c r="T33" s="98" t="s">
        <v>75</v>
      </c>
      <c r="U33" s="200" t="s">
        <v>2</v>
      </c>
    </row>
    <row r="34" spans="14:21">
      <c r="S34" s="342" t="s">
        <v>76</v>
      </c>
      <c r="T34" s="343">
        <v>2024</v>
      </c>
      <c r="U34" s="344">
        <v>160</v>
      </c>
    </row>
    <row r="35" spans="14:21">
      <c r="S35" s="345" t="s">
        <v>77</v>
      </c>
      <c r="T35" s="346">
        <v>2025</v>
      </c>
      <c r="U35" s="347">
        <v>160</v>
      </c>
    </row>
    <row r="36" spans="14:21">
      <c r="S36" s="337" t="s">
        <v>78</v>
      </c>
      <c r="T36" s="70">
        <v>2026</v>
      </c>
      <c r="U36" s="338">
        <v>160</v>
      </c>
    </row>
    <row r="37" spans="14:21">
      <c r="S37" s="337" t="s">
        <v>79</v>
      </c>
      <c r="T37" s="70">
        <v>2027</v>
      </c>
      <c r="U37" s="338">
        <v>160</v>
      </c>
    </row>
    <row r="38" spans="14:21">
      <c r="S38" s="337" t="s">
        <v>80</v>
      </c>
      <c r="T38" s="70">
        <v>2028</v>
      </c>
      <c r="U38" s="338">
        <v>176</v>
      </c>
    </row>
    <row r="39" spans="14:21" ht="15.75" thickBot="1">
      <c r="S39" s="337" t="s">
        <v>81</v>
      </c>
      <c r="T39" s="70">
        <v>2029</v>
      </c>
      <c r="U39" s="338">
        <v>176</v>
      </c>
    </row>
    <row r="40" spans="14:21" ht="15.75" thickBot="1">
      <c r="N40" s="336" t="s">
        <v>74</v>
      </c>
      <c r="O40" s="98" t="s">
        <v>75</v>
      </c>
      <c r="P40" s="200" t="s">
        <v>2</v>
      </c>
      <c r="S40" s="337" t="s">
        <v>82</v>
      </c>
      <c r="T40" s="70">
        <v>2030</v>
      </c>
      <c r="U40" s="338">
        <v>176</v>
      </c>
    </row>
    <row r="41" spans="14:21">
      <c r="N41" s="342" t="s">
        <v>76</v>
      </c>
      <c r="O41" s="343">
        <v>2024</v>
      </c>
      <c r="P41" s="344">
        <v>160</v>
      </c>
      <c r="S41" s="337" t="s">
        <v>83</v>
      </c>
      <c r="T41" s="70">
        <v>2031</v>
      </c>
      <c r="U41" s="338">
        <v>176</v>
      </c>
    </row>
    <row r="42" spans="14:21">
      <c r="N42" s="345" t="s">
        <v>77</v>
      </c>
      <c r="O42" s="346">
        <v>2025</v>
      </c>
      <c r="P42" s="347">
        <v>160</v>
      </c>
      <c r="S42" s="337" t="s">
        <v>84</v>
      </c>
      <c r="T42" s="70">
        <v>2032</v>
      </c>
      <c r="U42" s="338">
        <v>176</v>
      </c>
    </row>
    <row r="43" spans="14:21" ht="15.75" thickBot="1">
      <c r="N43" s="337" t="s">
        <v>78</v>
      </c>
      <c r="O43" s="70">
        <v>2026</v>
      </c>
      <c r="P43" s="338">
        <v>160</v>
      </c>
      <c r="S43" s="339" t="s">
        <v>85</v>
      </c>
      <c r="T43" s="340">
        <v>2033</v>
      </c>
      <c r="U43" s="341">
        <f>192 + 10</f>
        <v>202</v>
      </c>
    </row>
    <row r="44" spans="14:21">
      <c r="N44" s="337" t="s">
        <v>79</v>
      </c>
      <c r="O44" s="70">
        <v>2027</v>
      </c>
      <c r="P44" s="338">
        <v>160</v>
      </c>
    </row>
    <row r="45" spans="14:21">
      <c r="N45" s="337" t="s">
        <v>80</v>
      </c>
      <c r="O45" s="70">
        <v>2028</v>
      </c>
      <c r="P45" s="338">
        <v>176</v>
      </c>
    </row>
    <row r="46" spans="14:21">
      <c r="N46" s="337" t="s">
        <v>81</v>
      </c>
      <c r="O46" s="70">
        <v>2029</v>
      </c>
      <c r="P46" s="338">
        <v>176</v>
      </c>
    </row>
    <row r="47" spans="14:21">
      <c r="N47" s="337" t="s">
        <v>82</v>
      </c>
      <c r="O47" s="70">
        <v>2030</v>
      </c>
      <c r="P47" s="338">
        <v>176</v>
      </c>
    </row>
    <row r="48" spans="14:21">
      <c r="N48" s="337" t="s">
        <v>83</v>
      </c>
      <c r="O48" s="70">
        <v>2031</v>
      </c>
      <c r="P48" s="338">
        <v>176</v>
      </c>
    </row>
    <row r="49" spans="14:16">
      <c r="N49" s="337" t="s">
        <v>84</v>
      </c>
      <c r="O49" s="70">
        <v>2032</v>
      </c>
      <c r="P49" s="338">
        <v>176</v>
      </c>
    </row>
    <row r="50" spans="14:16" ht="15.75" thickBot="1">
      <c r="N50" s="339" t="s">
        <v>85</v>
      </c>
      <c r="O50" s="340">
        <v>2033</v>
      </c>
      <c r="P50" s="341">
        <f>192 + 10</f>
        <v>202</v>
      </c>
    </row>
  </sheetData>
  <autoFilter ref="B13:K20" xr:uid="{4B51B8F7-4ACE-45CA-965B-2AD2897F333A}"/>
  <conditionalFormatting sqref="B14:L19">
    <cfRule type="expression" dxfId="27" priority="2">
      <formula>$L14="Passed"</formula>
    </cfRule>
  </conditionalFormatting>
  <conditionalFormatting sqref="C14:F19 L14:L19">
    <cfRule type="cellIs" dxfId="26" priority="3" operator="equal">
      <formula>"TBD"</formula>
    </cfRule>
  </conditionalFormatting>
  <conditionalFormatting sqref="E3 E5">
    <cfRule type="cellIs" dxfId="25" priority="4" operator="greaterThan">
      <formula>0</formula>
    </cfRule>
  </conditionalFormatting>
  <conditionalFormatting sqref="E3 E5:E11">
    <cfRule type="cellIs" dxfId="24" priority="6" operator="lessThanOrEqual">
      <formula>0</formula>
    </cfRule>
  </conditionalFormatting>
  <conditionalFormatting sqref="I14:J19">
    <cfRule type="cellIs" dxfId="23" priority="1" operator="equal">
      <formula>"N/A"</formula>
    </cfRule>
    <cfRule type="cellIs" dxfId="22" priority="5" operator="equal">
      <formula>"No"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760F-A41D-4F61-BA2B-13AF059236FC}">
  <dimension ref="B1:P52"/>
  <sheetViews>
    <sheetView tabSelected="1" zoomScale="85" zoomScaleNormal="85" workbookViewId="0">
      <pane ySplit="13" topLeftCell="A14" activePane="bottomLeft" state="frozen"/>
      <selection pane="bottomLeft"/>
    </sheetView>
  </sheetViews>
  <sheetFormatPr defaultRowHeight="15"/>
  <cols>
    <col min="2" max="2" width="23" bestFit="1" customWidth="1"/>
    <col min="3" max="3" width="13.140625" bestFit="1" customWidth="1"/>
    <col min="4" max="4" width="11.7109375" bestFit="1" customWidth="1"/>
    <col min="5" max="5" width="12.28515625" bestFit="1" customWidth="1"/>
    <col min="6" max="6" width="11.7109375" customWidth="1"/>
    <col min="7" max="7" width="11.5703125" bestFit="1" customWidth="1"/>
    <col min="8" max="8" width="18.85546875" bestFit="1" customWidth="1"/>
    <col min="9" max="9" width="18.85546875" customWidth="1"/>
    <col min="10" max="10" width="18" bestFit="1" customWidth="1"/>
    <col min="11" max="11" width="57" bestFit="1" customWidth="1"/>
    <col min="12" max="12" width="13.42578125" bestFit="1" customWidth="1"/>
    <col min="14" max="14" width="16.5703125" bestFit="1" customWidth="1"/>
    <col min="19" max="19" width="13.140625" customWidth="1"/>
    <col min="20" max="20" width="5.85546875" bestFit="1" customWidth="1"/>
    <col min="21" max="21" width="4.85546875" bestFit="1" customWidth="1"/>
    <col min="22" max="22" width="5.85546875" bestFit="1" customWidth="1"/>
    <col min="23" max="23" width="4.85546875" bestFit="1" customWidth="1"/>
  </cols>
  <sheetData>
    <row r="1" spans="2:12" ht="15.75" thickBot="1"/>
    <row r="2" spans="2:12" ht="18" thickBot="1">
      <c r="B2" s="16" t="s">
        <v>17</v>
      </c>
      <c r="C2" s="17" t="s">
        <v>0</v>
      </c>
      <c r="D2" s="17" t="s">
        <v>26</v>
      </c>
      <c r="E2" s="18" t="s">
        <v>12</v>
      </c>
      <c r="K2" cm="1">
        <f t="array" aca="1" ref="K2" ca="1">INT(_xlfn.TEXTAFTER(CELL("filename", A1), "]"))</f>
        <v>2026</v>
      </c>
    </row>
    <row r="3" spans="2:12">
      <c r="B3" s="4" t="s">
        <v>6</v>
      </c>
      <c r="C3" s="3">
        <f ca="1">IF(K2 &lt;= O43, P40, IF(AND(K2 &gt;= O44, K2 &lt; O49), P44, IF(MOD(K2 - O40, 10) = 0, P49 + 80, P49)))</f>
        <v>160</v>
      </c>
      <c r="D3" s="3">
        <f ca="1">C3-E3</f>
        <v>160</v>
      </c>
      <c r="E3" s="1">
        <f ca="1">SUM(C3 + C4) - C6 - SUMIF(H14:H51, "PTO", G14:G51)</f>
        <v>0</v>
      </c>
      <c r="K3" s="56" t="str">
        <f ca="1">"PTO Reset: 02/12/" &amp; INT(K2) + 1</f>
        <v>PTO Reset: 02/12/2027</v>
      </c>
    </row>
    <row r="4" spans="2:12">
      <c r="B4" s="5" t="s">
        <v>38</v>
      </c>
      <c r="C4" s="2" cm="1">
        <f t="array" aca="1" ref="C4" ca="1">IF((RIGHT(CELL("filename",A2),LEN(CELL("filename",A2))-SEARCH("]",CELL("filename",A2))))&lt;&gt;"Template", (INDIRECT("'"&amp;(RIGHT(CELL("filename",A2),LEN(CELL("filename",A2))-SEARCH("]",CELL("filename",A2))))-1&amp;"'!E3")) + (INDIRECT("'"&amp;(RIGHT(CELL("filename",A3),LEN(CELL("filename",A3))-SEARCH("]",CELL("filename",A3))))-1&amp;"'!E6")), 0)</f>
        <v>8.5000000000000071</v>
      </c>
      <c r="D4" s="74"/>
      <c r="E4" s="75"/>
    </row>
    <row r="5" spans="2:12" ht="15.75" thickBot="1">
      <c r="B5" s="6" t="s">
        <v>5</v>
      </c>
      <c r="C5" s="7">
        <f ca="1">SUM(C3 + C4) / 8</f>
        <v>21.0625</v>
      </c>
      <c r="D5" s="7">
        <f ca="1">D3 / 8</f>
        <v>20</v>
      </c>
      <c r="E5" s="8">
        <f ca="1">E3 / 8</f>
        <v>0</v>
      </c>
    </row>
    <row r="6" spans="2:12">
      <c r="B6" s="9" t="s">
        <v>15</v>
      </c>
      <c r="C6" s="10">
        <v>40</v>
      </c>
      <c r="D6" s="10">
        <f>C6 - E6</f>
        <v>19.999999999999993</v>
      </c>
      <c r="E6" s="11">
        <f>C6 - SUMIF(H14:H51, "Sick", G14:G51)</f>
        <v>20.000000000000007</v>
      </c>
    </row>
    <row r="7" spans="2:12" ht="15.75" thickBot="1">
      <c r="B7" s="12" t="s">
        <v>16</v>
      </c>
      <c r="C7" s="13">
        <f>C6 / 8</f>
        <v>5</v>
      </c>
      <c r="D7" s="13">
        <f>D6 / 8</f>
        <v>2.4999999999999991</v>
      </c>
      <c r="E7" s="14">
        <f>E6 / 8</f>
        <v>2.5000000000000009</v>
      </c>
    </row>
    <row r="8" spans="2:12">
      <c r="B8" s="5" t="s">
        <v>7</v>
      </c>
      <c r="C8" s="2">
        <v>16</v>
      </c>
      <c r="D8" s="2">
        <f>C8 - E8</f>
        <v>16</v>
      </c>
      <c r="E8" s="1">
        <f>C8 - SUMIF(H14:H51, "Be You", G14:G51)</f>
        <v>0</v>
      </c>
      <c r="K8" s="51"/>
    </row>
    <row r="9" spans="2:12" ht="15.75" thickBot="1">
      <c r="B9" s="6" t="s">
        <v>8</v>
      </c>
      <c r="C9" s="7">
        <f>C8 / 8</f>
        <v>2</v>
      </c>
      <c r="D9" s="7">
        <f>D8 / 8</f>
        <v>2</v>
      </c>
      <c r="E9" s="15">
        <f>E8 / 8</f>
        <v>0</v>
      </c>
    </row>
    <row r="10" spans="2:12">
      <c r="B10" s="127" t="s">
        <v>22</v>
      </c>
      <c r="C10" s="128">
        <v>4</v>
      </c>
      <c r="D10" s="128">
        <f>C10 - E10</f>
        <v>0</v>
      </c>
      <c r="E10" s="129">
        <f>C10 - SUMIF(H14:H51, "Volunteer", G14:G51)</f>
        <v>4</v>
      </c>
      <c r="K10" s="36"/>
    </row>
    <row r="11" spans="2:12" ht="15.75" thickBot="1">
      <c r="B11" s="130" t="s">
        <v>23</v>
      </c>
      <c r="C11" s="131">
        <f>C10 / 8</f>
        <v>0.5</v>
      </c>
      <c r="D11" s="131">
        <f>D10 / 8</f>
        <v>0</v>
      </c>
      <c r="E11" s="132">
        <f>E10 / 8</f>
        <v>0.5</v>
      </c>
      <c r="K11" s="36"/>
    </row>
    <row r="12" spans="2:12" ht="15.75" thickBot="1"/>
    <row r="13" spans="2:12" ht="35.25" thickBot="1">
      <c r="B13" s="28" t="s">
        <v>1</v>
      </c>
      <c r="C13" s="163" t="s">
        <v>48</v>
      </c>
      <c r="D13" s="146" t="s">
        <v>53</v>
      </c>
      <c r="E13" s="146" t="s">
        <v>54</v>
      </c>
      <c r="F13" s="218" t="s">
        <v>57</v>
      </c>
      <c r="G13" s="163" t="s">
        <v>56</v>
      </c>
      <c r="H13" s="178" t="s">
        <v>9</v>
      </c>
      <c r="I13" s="195" t="s">
        <v>21</v>
      </c>
      <c r="J13" s="195" t="s">
        <v>87</v>
      </c>
      <c r="K13" s="203" t="s">
        <v>3</v>
      </c>
      <c r="L13" s="147" t="s">
        <v>47</v>
      </c>
    </row>
    <row r="14" spans="2:12">
      <c r="B14" s="122">
        <v>46059</v>
      </c>
      <c r="C14" s="240" t="str">
        <f t="shared" ref="C14:C25" si="0">IF(ISNUMBER(FIND("?", B14, 1)), "TBD", TEXT(B14, "ddd"))</f>
        <v>Fri</v>
      </c>
      <c r="D14" s="241">
        <v>0.45833333333333331</v>
      </c>
      <c r="E14" s="241">
        <v>0.66666666666666663</v>
      </c>
      <c r="F14" s="257">
        <f>((E14 - D14) * 24)</f>
        <v>5</v>
      </c>
      <c r="G14" s="240">
        <f t="shared" ref="G14:G25" si="1">IF(F14 &gt; 4, (F14 - 1), F14)</f>
        <v>4</v>
      </c>
      <c r="H14" s="242" t="s">
        <v>10</v>
      </c>
      <c r="I14" s="196" t="s">
        <v>20</v>
      </c>
      <c r="J14" s="196" t="s">
        <v>20</v>
      </c>
      <c r="K14" s="243" t="s">
        <v>67</v>
      </c>
      <c r="L14" s="42" t="str">
        <f t="shared" ref="L14:L25" ca="1" si="2">IF(C14 = "TBD", "TBD", IF(B14 = "", "IDK!!", IF(TODAY() &gt; B14, "Passed", IF(TODAY() = B14, "Today!!", "Upcoming"))))</f>
        <v>Passed</v>
      </c>
    </row>
    <row r="15" spans="2:12" ht="15.75" thickBot="1">
      <c r="B15" s="306">
        <v>46080</v>
      </c>
      <c r="C15" s="307" t="str">
        <f t="shared" si="0"/>
        <v>Fri</v>
      </c>
      <c r="D15" s="308">
        <v>0.29166666666666669</v>
      </c>
      <c r="E15" s="308">
        <v>0.66666666666666663</v>
      </c>
      <c r="F15" s="309">
        <f>((E15 - D15) * 24)</f>
        <v>8.9999999999999982</v>
      </c>
      <c r="G15" s="307">
        <f>IF(F15 &gt; 4, (F15 - 1), F15)</f>
        <v>7.9999999999999982</v>
      </c>
      <c r="H15" s="310" t="s">
        <v>68</v>
      </c>
      <c r="I15" s="244" t="s">
        <v>20</v>
      </c>
      <c r="J15" s="244" t="s">
        <v>20</v>
      </c>
      <c r="K15" s="311" t="s">
        <v>69</v>
      </c>
      <c r="L15" s="60" t="str">
        <f t="shared" ca="1" si="2"/>
        <v>Passed</v>
      </c>
    </row>
    <row r="16" spans="2:12" ht="15.75" thickBot="1">
      <c r="B16" s="282">
        <v>46093</v>
      </c>
      <c r="C16" s="312" t="str">
        <f t="shared" ref="C16" si="3">IF(ISNUMBER(FIND("?", B16, 1)), "TBD", TEXT(B16, "ddd"))</f>
        <v>Thu</v>
      </c>
      <c r="D16" s="313">
        <v>0.625</v>
      </c>
      <c r="E16" s="313">
        <v>0.66666666666666663</v>
      </c>
      <c r="F16" s="314">
        <f>((E16 - D16) * 24)</f>
        <v>0.99999999999999911</v>
      </c>
      <c r="G16" s="312">
        <f>IF(F16 &gt; 4, (F16 - 1), F16)</f>
        <v>0.99999999999999911</v>
      </c>
      <c r="H16" s="315" t="s">
        <v>68</v>
      </c>
      <c r="I16" s="244" t="s">
        <v>20</v>
      </c>
      <c r="J16" s="321" t="s">
        <v>20</v>
      </c>
      <c r="K16" s="288" t="s">
        <v>70</v>
      </c>
      <c r="L16" s="60" t="str">
        <f t="shared" ca="1" si="2"/>
        <v>Passed</v>
      </c>
    </row>
    <row r="17" spans="2:12">
      <c r="B17" s="289">
        <v>46150</v>
      </c>
      <c r="C17" s="290" t="str">
        <f>IF(ISNUMBER(FIND("?", B17, 1)), "TBD", TEXT(B17, "ddd"))</f>
        <v>Fri</v>
      </c>
      <c r="D17" s="291">
        <v>0.29166666666666669</v>
      </c>
      <c r="E17" s="291">
        <v>0.66666666666666663</v>
      </c>
      <c r="F17" s="136">
        <f>((E17 - D17) * 24)</f>
        <v>8.9999999999999982</v>
      </c>
      <c r="G17" s="290">
        <f>IF(F17 &gt; 4, (F17 - 1), F17)</f>
        <v>7.9999999999999982</v>
      </c>
      <c r="H17" s="293" t="s">
        <v>4</v>
      </c>
      <c r="I17" s="197" t="s">
        <v>20</v>
      </c>
      <c r="J17" s="197" t="s">
        <v>20</v>
      </c>
      <c r="K17" s="294" t="s">
        <v>73</v>
      </c>
      <c r="L17" s="47" t="str">
        <f ca="1">IF(C17 = "TBD", "TBD", IF(B17 = "", "IDK!!", IF(TODAY() &gt; B17, "Passed", IF(TODAY() = B17, "Today!!", "Upcoming"))))</f>
        <v>Passed</v>
      </c>
    </row>
    <row r="18" spans="2:12">
      <c r="B18" s="270">
        <v>46164</v>
      </c>
      <c r="C18" s="271" t="str">
        <f>IF(ISNUMBER(FIND("?", B18, 1)), "TBD", TEXT(B18, "ddd"))</f>
        <v>Fri</v>
      </c>
      <c r="D18" s="348">
        <v>0.29166666666666669</v>
      </c>
      <c r="E18" s="348">
        <v>0.66666666666666663</v>
      </c>
      <c r="F18" s="76">
        <f t="shared" ref="F18:F25" si="4">((E18 - D18) * 24)</f>
        <v>8.9999999999999982</v>
      </c>
      <c r="G18" s="271">
        <f t="shared" si="1"/>
        <v>7.9999999999999982</v>
      </c>
      <c r="H18" s="272" t="s">
        <v>4</v>
      </c>
      <c r="I18" s="198" t="s">
        <v>20</v>
      </c>
      <c r="J18" s="198" t="s">
        <v>20</v>
      </c>
      <c r="K18" s="273" t="s">
        <v>86</v>
      </c>
      <c r="L18" s="193" t="str">
        <f t="shared" ca="1" si="2"/>
        <v>Passed</v>
      </c>
    </row>
    <row r="19" spans="2:12" ht="15.75" thickBot="1">
      <c r="B19" s="113">
        <v>46168</v>
      </c>
      <c r="C19" s="354" t="str">
        <f>IF(ISNUMBER(FIND("?", B19, 1)), "TBD", TEXT(B19, "ddd"))</f>
        <v>Tue</v>
      </c>
      <c r="D19" s="355">
        <v>0.64583333333333337</v>
      </c>
      <c r="E19" s="355">
        <v>0.66666666666666663</v>
      </c>
      <c r="F19" s="33">
        <f>((E19 - D19) * 24)</f>
        <v>0.49999999999999822</v>
      </c>
      <c r="G19" s="354">
        <f>IF(F19 &gt; 4, (F19 - 1), F19)</f>
        <v>0.49999999999999822</v>
      </c>
      <c r="H19" s="267" t="s">
        <v>4</v>
      </c>
      <c r="I19" s="244" t="s">
        <v>20</v>
      </c>
      <c r="J19" s="244" t="s">
        <v>20</v>
      </c>
      <c r="K19" s="268" t="s">
        <v>88</v>
      </c>
      <c r="L19" s="60" t="str">
        <f ca="1">IF(C19 = "TBD", "TBD", IF(B19 = "", "IDK!!", IF(TODAY() &gt; B19, "Passed", IF(TODAY() = B19, "Today!!", "Upcoming"))))</f>
        <v>Passed</v>
      </c>
    </row>
    <row r="20" spans="2:12" ht="30.75" thickBot="1">
      <c r="B20" s="103">
        <v>46196</v>
      </c>
      <c r="C20" s="356" t="str">
        <f>IF(ISNUMBER(FIND("?", B20, 1)), "TBD", TEXT(B20, "ddd"))</f>
        <v>Tue</v>
      </c>
      <c r="D20" s="357">
        <v>0.29166666666666669</v>
      </c>
      <c r="E20" s="357">
        <v>0.45833333333333331</v>
      </c>
      <c r="F20" s="358">
        <f>((E20 - D20) * 24)</f>
        <v>3.9999999999999991</v>
      </c>
      <c r="G20" s="356">
        <f>IF(F20 &gt; 4, (F20 - 1), F20)</f>
        <v>3.9999999999999991</v>
      </c>
      <c r="H20" s="359" t="s">
        <v>4</v>
      </c>
      <c r="I20" s="196" t="s">
        <v>20</v>
      </c>
      <c r="J20" s="196" t="s">
        <v>20</v>
      </c>
      <c r="K20" s="360" t="s">
        <v>90</v>
      </c>
      <c r="L20" s="42" t="str">
        <f ca="1">IF(C20 = "TBD", "TBD", IF(B20 = "", "IDK!!", IF(TODAY() &gt; B20, "Passed", IF(TODAY() = B20, "Today!!", "Upcoming"))))</f>
        <v>Passed</v>
      </c>
    </row>
    <row r="21" spans="2:12" ht="30.75" thickBot="1">
      <c r="B21" s="282">
        <v>46196</v>
      </c>
      <c r="C21" s="283" t="str">
        <f>IF(ISNUMBER(FIND("?", B21, 1)), "TBD", TEXT(B21, "ddd"))</f>
        <v>Tue</v>
      </c>
      <c r="D21" s="284">
        <v>0.5</v>
      </c>
      <c r="E21" s="284">
        <v>0.66666666666666663</v>
      </c>
      <c r="F21" s="232">
        <f>((E21 - D21) * 24)</f>
        <v>3.9999999999999991</v>
      </c>
      <c r="G21" s="230">
        <f>IF(F21 &gt; 4, (F21 - 1), F21)</f>
        <v>3.9999999999999991</v>
      </c>
      <c r="H21" s="286" t="s">
        <v>32</v>
      </c>
      <c r="I21" s="321" t="s">
        <v>20</v>
      </c>
      <c r="J21" s="321" t="s">
        <v>20</v>
      </c>
      <c r="K21" s="360" t="s">
        <v>90</v>
      </c>
      <c r="L21" s="67" t="str">
        <f ca="1">IF(C21 = "TBD", "TBD", IF(B21 = "", "IDK!!", IF(TODAY() &gt; B21, "Passed", IF(TODAY() = B21, "Today!!", "Upcoming"))))</f>
        <v>Passed</v>
      </c>
    </row>
    <row r="22" spans="2:12">
      <c r="B22" s="279">
        <v>46226</v>
      </c>
      <c r="C22" s="217" t="str">
        <f t="shared" si="0"/>
        <v>Thu</v>
      </c>
      <c r="D22" s="157">
        <v>0.45833333333333331</v>
      </c>
      <c r="E22" s="157">
        <v>0.66666666666666663</v>
      </c>
      <c r="F22" s="220">
        <f t="shared" si="4"/>
        <v>5</v>
      </c>
      <c r="G22" s="217">
        <f t="shared" si="1"/>
        <v>4</v>
      </c>
      <c r="H22" s="280" t="s">
        <v>4</v>
      </c>
      <c r="I22" s="196" t="s">
        <v>20</v>
      </c>
      <c r="J22" s="196" t="s">
        <v>20</v>
      </c>
      <c r="K22" s="281" t="s">
        <v>46</v>
      </c>
      <c r="L22" s="42" t="str">
        <f t="shared" ca="1" si="2"/>
        <v>Passed</v>
      </c>
    </row>
    <row r="23" spans="2:12">
      <c r="B23" s="331">
        <v>46227</v>
      </c>
      <c r="C23" s="332" t="str">
        <f>IF(ISNUMBER(FIND("?", B23, 1)), "TBD", TEXT(B23, "ddd"))</f>
        <v>Fri</v>
      </c>
      <c r="D23" s="333">
        <v>0.29166666666666669</v>
      </c>
      <c r="E23" s="333">
        <v>0.66666666666666663</v>
      </c>
      <c r="F23" s="221">
        <f>((E23 - D23) * 24)</f>
        <v>8.9999999999999982</v>
      </c>
      <c r="G23" s="332">
        <f>IF(F23 &gt; 4, (F23 - 1), F23)</f>
        <v>7.9999999999999982</v>
      </c>
      <c r="H23" s="334" t="s">
        <v>4</v>
      </c>
      <c r="I23" s="199" t="s">
        <v>20</v>
      </c>
      <c r="J23" s="199" t="s">
        <v>20</v>
      </c>
      <c r="K23" s="335" t="s">
        <v>46</v>
      </c>
      <c r="L23" s="59" t="str">
        <f ca="1">IF(C23 = "TBD", "TBD", IF(B23 = "", "IDK!!", IF(TODAY() &gt; B23, "Passed", IF(TODAY() = B23, "Today!!", "Upcoming"))))</f>
        <v>Passed</v>
      </c>
    </row>
    <row r="24" spans="2:12">
      <c r="B24" s="140">
        <v>46232</v>
      </c>
      <c r="C24" s="166" t="str">
        <f>IF(ISNUMBER(FIND("?", B24, 1)), "TBD", TEXT(B24, "ddd"))</f>
        <v>Wed</v>
      </c>
      <c r="D24" s="158">
        <v>0.54166666666666663</v>
      </c>
      <c r="E24" s="158">
        <v>0.66666666666666663</v>
      </c>
      <c r="F24" s="221">
        <f t="shared" si="4"/>
        <v>3</v>
      </c>
      <c r="G24" s="166">
        <f t="shared" si="1"/>
        <v>3</v>
      </c>
      <c r="H24" s="181" t="s">
        <v>4</v>
      </c>
      <c r="I24" s="198" t="s">
        <v>20</v>
      </c>
      <c r="J24" s="198" t="s">
        <v>20</v>
      </c>
      <c r="K24" s="206" t="s">
        <v>59</v>
      </c>
      <c r="L24" s="323" t="str">
        <f t="shared" ca="1" si="2"/>
        <v>Passed</v>
      </c>
    </row>
    <row r="25" spans="2:12">
      <c r="B25" s="140">
        <v>46233</v>
      </c>
      <c r="C25" s="166" t="str">
        <f t="shared" si="0"/>
        <v>Thu</v>
      </c>
      <c r="D25" s="158">
        <v>0.45833333333333331</v>
      </c>
      <c r="E25" s="158">
        <v>0.66666666666666663</v>
      </c>
      <c r="F25" s="221">
        <f t="shared" si="4"/>
        <v>5</v>
      </c>
      <c r="G25" s="166">
        <f t="shared" si="1"/>
        <v>4</v>
      </c>
      <c r="H25" s="181" t="s">
        <v>4</v>
      </c>
      <c r="I25" s="198" t="s">
        <v>20</v>
      </c>
      <c r="J25" s="198" t="s">
        <v>20</v>
      </c>
      <c r="K25" s="206" t="s">
        <v>59</v>
      </c>
      <c r="L25" s="323" t="str">
        <f t="shared" ca="1" si="2"/>
        <v>Passed</v>
      </c>
    </row>
    <row r="26" spans="2:12" ht="15.75" thickBot="1">
      <c r="B26" s="324">
        <v>46234</v>
      </c>
      <c r="C26" s="325" t="str">
        <f t="shared" ref="C26:C49" si="5">IF(ISNUMBER(FIND("?", B26, 1)), "TBD", TEXT(B26, "ddd"))</f>
        <v>Fri</v>
      </c>
      <c r="D26" s="326">
        <v>0.45833333333333331</v>
      </c>
      <c r="E26" s="326">
        <v>0.66666666666666663</v>
      </c>
      <c r="F26" s="327">
        <f t="shared" ref="F26:F46" si="6">((E26 - D26) * 24)</f>
        <v>5</v>
      </c>
      <c r="G26" s="325">
        <f t="shared" ref="G26:G49" si="7">IF(F26 &gt; 4, (F26 - 1), F26)</f>
        <v>4</v>
      </c>
      <c r="H26" s="328" t="s">
        <v>4</v>
      </c>
      <c r="I26" s="244" t="s">
        <v>20</v>
      </c>
      <c r="J26" s="244" t="s">
        <v>20</v>
      </c>
      <c r="K26" s="329" t="s">
        <v>59</v>
      </c>
      <c r="L26" s="330" t="str">
        <f t="shared" ref="L26:L49" ca="1" si="8">IF(C26 = "TBD", "TBD", IF(B26 = "", "IDK!!", IF(TODAY() &gt; B26, "Passed", IF(TODAY() = B26, "Today!!", "Upcoming"))))</f>
        <v>Passed</v>
      </c>
    </row>
    <row r="27" spans="2:12">
      <c r="B27" s="123">
        <v>46240</v>
      </c>
      <c r="C27" s="245" t="str">
        <f t="shared" si="5"/>
        <v>Thu</v>
      </c>
      <c r="D27" s="246">
        <v>0.45833333333333331</v>
      </c>
      <c r="E27" s="246">
        <v>0.66666666666666663</v>
      </c>
      <c r="F27" s="258">
        <f t="shared" si="6"/>
        <v>5</v>
      </c>
      <c r="G27" s="245">
        <f t="shared" si="7"/>
        <v>4</v>
      </c>
      <c r="H27" s="247" t="s">
        <v>4</v>
      </c>
      <c r="I27" s="199" t="s">
        <v>20</v>
      </c>
      <c r="J27" s="199" t="s">
        <v>20</v>
      </c>
      <c r="K27" s="248" t="s">
        <v>59</v>
      </c>
      <c r="L27" s="59" t="str">
        <f t="shared" ca="1" si="8"/>
        <v>Passed</v>
      </c>
    </row>
    <row r="28" spans="2:12">
      <c r="B28" s="249">
        <v>46241</v>
      </c>
      <c r="C28" s="245" t="str">
        <f t="shared" si="5"/>
        <v>Fri</v>
      </c>
      <c r="D28" s="246">
        <v>0.45833333333333331</v>
      </c>
      <c r="E28" s="246">
        <v>0.66666666666666663</v>
      </c>
      <c r="F28" s="258">
        <f t="shared" si="6"/>
        <v>5</v>
      </c>
      <c r="G28" s="245">
        <f t="shared" si="7"/>
        <v>4</v>
      </c>
      <c r="H28" s="247" t="s">
        <v>4</v>
      </c>
      <c r="I28" s="199" t="s">
        <v>20</v>
      </c>
      <c r="J28" s="199" t="s">
        <v>20</v>
      </c>
      <c r="K28" s="248" t="s">
        <v>59</v>
      </c>
      <c r="L28" s="59" t="str">
        <f t="shared" ca="1" si="8"/>
        <v>Passed</v>
      </c>
    </row>
    <row r="29" spans="2:12">
      <c r="B29" s="249">
        <v>46244</v>
      </c>
      <c r="C29" s="245" t="str">
        <f t="shared" si="5"/>
        <v>Mon</v>
      </c>
      <c r="D29" s="246">
        <v>0.45833333333333331</v>
      </c>
      <c r="E29" s="246">
        <v>0.66666666666666663</v>
      </c>
      <c r="F29" s="258">
        <f t="shared" si="6"/>
        <v>5</v>
      </c>
      <c r="G29" s="245">
        <f t="shared" si="7"/>
        <v>4</v>
      </c>
      <c r="H29" s="247" t="s">
        <v>4</v>
      </c>
      <c r="I29" s="199" t="s">
        <v>20</v>
      </c>
      <c r="J29" s="199" t="s">
        <v>20</v>
      </c>
      <c r="K29" s="248" t="s">
        <v>39</v>
      </c>
      <c r="L29" s="59" t="str">
        <f t="shared" ca="1" si="8"/>
        <v>Passed</v>
      </c>
    </row>
    <row r="30" spans="2:12">
      <c r="B30" s="249">
        <v>46245</v>
      </c>
      <c r="C30" s="245" t="str">
        <f t="shared" si="5"/>
        <v>Tue</v>
      </c>
      <c r="D30" s="246">
        <v>0.45833333333333331</v>
      </c>
      <c r="E30" s="246">
        <v>0.66666666666666663</v>
      </c>
      <c r="F30" s="258">
        <f t="shared" si="6"/>
        <v>5</v>
      </c>
      <c r="G30" s="245">
        <f t="shared" si="7"/>
        <v>4</v>
      </c>
      <c r="H30" s="247" t="s">
        <v>4</v>
      </c>
      <c r="I30" s="199" t="s">
        <v>20</v>
      </c>
      <c r="J30" s="199" t="s">
        <v>20</v>
      </c>
      <c r="K30" s="248" t="s">
        <v>39</v>
      </c>
      <c r="L30" s="59" t="str">
        <f t="shared" ca="1" si="8"/>
        <v>Passed</v>
      </c>
    </row>
    <row r="31" spans="2:12" ht="30">
      <c r="B31" s="249">
        <v>46246</v>
      </c>
      <c r="C31" s="245" t="str">
        <f>IF(ISNUMBER(FIND("?", B31, 1)), "TBD", TEXT(B31, "ddd"))</f>
        <v>Wed</v>
      </c>
      <c r="D31" s="246">
        <v>0.29166666666666669</v>
      </c>
      <c r="E31" s="246">
        <v>0.45833333333333331</v>
      </c>
      <c r="F31" s="258">
        <f>((E31 - D31) * 24)</f>
        <v>3.9999999999999991</v>
      </c>
      <c r="G31" s="245">
        <f>IF(F31 &gt; 4, (F31 - 1), F31)</f>
        <v>3.9999999999999991</v>
      </c>
      <c r="H31" s="247" t="s">
        <v>32</v>
      </c>
      <c r="I31" s="199" t="s">
        <v>20</v>
      </c>
      <c r="J31" s="199" t="s">
        <v>20</v>
      </c>
      <c r="K31" s="248" t="s">
        <v>91</v>
      </c>
      <c r="L31" s="59" t="str">
        <f ca="1">IF(C31 = "TBD", "TBD", IF(B31 = "", "IDK!!", IF(TODAY() &gt; B31, "Passed", IF(TODAY() = B31, "Today!!", "Upcoming"))))</f>
        <v>Passed</v>
      </c>
    </row>
    <row r="32" spans="2:12" ht="30">
      <c r="B32" s="249">
        <v>46246</v>
      </c>
      <c r="C32" s="245" t="str">
        <f t="shared" si="5"/>
        <v>Wed</v>
      </c>
      <c r="D32" s="246">
        <v>0.45833333333333331</v>
      </c>
      <c r="E32" s="246">
        <v>0.66666666666666663</v>
      </c>
      <c r="F32" s="258">
        <f t="shared" si="6"/>
        <v>5</v>
      </c>
      <c r="G32" s="245">
        <f t="shared" si="7"/>
        <v>4</v>
      </c>
      <c r="H32" s="247" t="s">
        <v>4</v>
      </c>
      <c r="I32" s="199" t="s">
        <v>20</v>
      </c>
      <c r="J32" s="199" t="s">
        <v>20</v>
      </c>
      <c r="K32" s="248" t="s">
        <v>92</v>
      </c>
      <c r="L32" s="59" t="str">
        <f t="shared" ca="1" si="8"/>
        <v>Passed</v>
      </c>
    </row>
    <row r="33" spans="2:16">
      <c r="B33" s="250">
        <v>46247</v>
      </c>
      <c r="C33" s="245" t="str">
        <f t="shared" si="5"/>
        <v>Thu</v>
      </c>
      <c r="D33" s="246">
        <v>0.45833333333333331</v>
      </c>
      <c r="E33" s="246">
        <v>0.66666666666666663</v>
      </c>
      <c r="F33" s="258">
        <f t="shared" si="6"/>
        <v>5</v>
      </c>
      <c r="G33" s="245">
        <f t="shared" si="7"/>
        <v>4</v>
      </c>
      <c r="H33" s="247" t="s">
        <v>4</v>
      </c>
      <c r="I33" s="199" t="s">
        <v>20</v>
      </c>
      <c r="J33" s="199" t="s">
        <v>20</v>
      </c>
      <c r="K33" s="248" t="s">
        <v>39</v>
      </c>
      <c r="L33" s="59" t="str">
        <f t="shared" ca="1" si="8"/>
        <v>Passed</v>
      </c>
    </row>
    <row r="34" spans="2:16">
      <c r="B34" s="250">
        <v>46248</v>
      </c>
      <c r="C34" s="245" t="str">
        <f t="shared" si="5"/>
        <v>Fri</v>
      </c>
      <c r="D34" s="246">
        <v>0.45833333333333331</v>
      </c>
      <c r="E34" s="246">
        <v>0.66666666666666663</v>
      </c>
      <c r="F34" s="258">
        <f t="shared" si="6"/>
        <v>5</v>
      </c>
      <c r="G34" s="245">
        <f t="shared" si="7"/>
        <v>4</v>
      </c>
      <c r="H34" s="247" t="s">
        <v>4</v>
      </c>
      <c r="I34" s="199" t="s">
        <v>20</v>
      </c>
      <c r="J34" s="199" t="s">
        <v>20</v>
      </c>
      <c r="K34" s="248" t="s">
        <v>39</v>
      </c>
      <c r="L34" s="59" t="str">
        <f t="shared" ca="1" si="8"/>
        <v>Passed</v>
      </c>
    </row>
    <row r="35" spans="2:16" ht="15.75" thickBot="1">
      <c r="B35" s="250">
        <v>46253</v>
      </c>
      <c r="C35" s="245" t="str">
        <f t="shared" si="5"/>
        <v>Wed</v>
      </c>
      <c r="D35" s="246">
        <v>0.29166666666666669</v>
      </c>
      <c r="E35" s="246">
        <v>0.5</v>
      </c>
      <c r="F35" s="258">
        <f t="shared" si="6"/>
        <v>5</v>
      </c>
      <c r="G35" s="245">
        <f t="shared" si="7"/>
        <v>4</v>
      </c>
      <c r="H35" s="247" t="s">
        <v>4</v>
      </c>
      <c r="I35" s="199" t="s">
        <v>20</v>
      </c>
      <c r="J35" s="199" t="s">
        <v>20</v>
      </c>
      <c r="K35" s="248" t="s">
        <v>71</v>
      </c>
      <c r="L35" s="59" t="str">
        <f t="shared" ca="1" si="8"/>
        <v>Passed</v>
      </c>
    </row>
    <row r="36" spans="2:16">
      <c r="B36" s="105">
        <v>46269</v>
      </c>
      <c r="C36" s="170" t="str">
        <f t="shared" ref="C36:C38" si="9">IF(ISNUMBER(FIND("?", B36, 1)), "TBD", TEXT(B36, "ddd"))</f>
        <v>Fri</v>
      </c>
      <c r="D36" s="160">
        <v>0.45833333333333331</v>
      </c>
      <c r="E36" s="160">
        <v>0.66666666666666663</v>
      </c>
      <c r="F36" s="224">
        <f t="shared" ref="F36:F38" si="10">((E36 - D36) * 24)</f>
        <v>5</v>
      </c>
      <c r="G36" s="170">
        <f t="shared" ref="G36:G38" si="11">IF(F36 &gt; 4, (F36 - 1), F36)</f>
        <v>4</v>
      </c>
      <c r="H36" s="185" t="s">
        <v>4</v>
      </c>
      <c r="I36" s="196" t="s">
        <v>20</v>
      </c>
      <c r="J36" s="196" t="s">
        <v>20</v>
      </c>
      <c r="K36" s="210" t="s">
        <v>24</v>
      </c>
      <c r="L36" s="42" t="str">
        <f t="shared" ref="L36:L38" ca="1" si="12">IF(C36 = "TBD", "TBD", IF(B36 = "", "IDK!!", IF(TODAY() &gt; B36, "Passed", IF(TODAY() = B36, "Today!!", "Upcoming"))))</f>
        <v>Passed</v>
      </c>
    </row>
    <row r="37" spans="2:16">
      <c r="B37" s="316">
        <v>46275</v>
      </c>
      <c r="C37" s="317" t="str">
        <f t="shared" si="9"/>
        <v>Thu</v>
      </c>
      <c r="D37" s="318">
        <v>0.41666666666666669</v>
      </c>
      <c r="E37" s="318">
        <v>0.45833333333333331</v>
      </c>
      <c r="F37" s="319">
        <f t="shared" si="10"/>
        <v>0.99999999999999911</v>
      </c>
      <c r="G37" s="317">
        <f t="shared" si="11"/>
        <v>0.99999999999999911</v>
      </c>
      <c r="H37" s="320" t="s">
        <v>4</v>
      </c>
      <c r="I37" s="321" t="s">
        <v>20</v>
      </c>
      <c r="J37" s="321" t="s">
        <v>20</v>
      </c>
      <c r="K37" s="322" t="s">
        <v>72</v>
      </c>
      <c r="L37" s="67" t="str">
        <f t="shared" ca="1" si="12"/>
        <v>Passed</v>
      </c>
    </row>
    <row r="38" spans="2:16" ht="15.75" thickBot="1">
      <c r="B38" s="107">
        <v>46275</v>
      </c>
      <c r="C38" s="172" t="str">
        <f t="shared" si="9"/>
        <v>Thu</v>
      </c>
      <c r="D38" s="162">
        <v>0.29166666666666669</v>
      </c>
      <c r="E38" s="162">
        <v>0.41666666666666669</v>
      </c>
      <c r="F38" s="361">
        <f t="shared" si="10"/>
        <v>3</v>
      </c>
      <c r="G38" s="172">
        <f t="shared" si="11"/>
        <v>3</v>
      </c>
      <c r="H38" s="187" t="s">
        <v>10</v>
      </c>
      <c r="I38" s="202" t="s">
        <v>20</v>
      </c>
      <c r="J38" s="202" t="s">
        <v>20</v>
      </c>
      <c r="K38" s="212" t="s">
        <v>72</v>
      </c>
      <c r="L38" s="251" t="str">
        <f t="shared" ca="1" si="12"/>
        <v>Passed</v>
      </c>
    </row>
    <row r="39" spans="2:16" ht="15.75" thickBot="1">
      <c r="B39" s="106">
        <v>46275</v>
      </c>
      <c r="C39" s="171" t="str">
        <f t="shared" ref="C39:C41" si="13">IF(ISNUMBER(FIND("?", B39, 1)), "TBD", TEXT(B39, "ddd"))</f>
        <v>Thu</v>
      </c>
      <c r="D39" s="161">
        <v>0.5</v>
      </c>
      <c r="E39" s="161">
        <v>0.66666666666666663</v>
      </c>
      <c r="F39" s="225">
        <f t="shared" ref="F39:F43" si="14">((E39 - D39) * 24)</f>
        <v>3.9999999999999991</v>
      </c>
      <c r="G39" s="171">
        <f t="shared" ref="G39:G43" si="15">IF(F39 &gt; 4, (F39 - 1), F39)</f>
        <v>3.9999999999999991</v>
      </c>
      <c r="H39" s="186" t="s">
        <v>32</v>
      </c>
      <c r="I39" s="198" t="s">
        <v>20</v>
      </c>
      <c r="J39" s="198" t="s">
        <v>20</v>
      </c>
      <c r="K39" s="211" t="s">
        <v>93</v>
      </c>
      <c r="L39" s="193" t="str">
        <f t="shared" ref="L39:L43" ca="1" si="16">IF(C39 = "TBD", "TBD", IF(B39 = "", "IDK!!", IF(TODAY() &gt; B39, "Passed", IF(TODAY() = B39, "Today!!", "Upcoming"))))</f>
        <v>Passed</v>
      </c>
      <c r="N39" s="336" t="s">
        <v>74</v>
      </c>
      <c r="O39" s="98" t="s">
        <v>75</v>
      </c>
      <c r="P39" s="200" t="s">
        <v>2</v>
      </c>
    </row>
    <row r="40" spans="2:16">
      <c r="B40" s="316">
        <v>46289</v>
      </c>
      <c r="C40" s="317" t="str">
        <f t="shared" si="13"/>
        <v>Thu</v>
      </c>
      <c r="D40" s="318">
        <v>0.29166666666666669</v>
      </c>
      <c r="E40" s="318">
        <v>0.375</v>
      </c>
      <c r="F40" s="319">
        <f t="shared" si="14"/>
        <v>1.9999999999999996</v>
      </c>
      <c r="G40" s="317">
        <f t="shared" si="15"/>
        <v>1.9999999999999996</v>
      </c>
      <c r="H40" s="320" t="s">
        <v>32</v>
      </c>
      <c r="I40" s="321" t="s">
        <v>20</v>
      </c>
      <c r="J40" s="321" t="s">
        <v>20</v>
      </c>
      <c r="K40" s="322" t="s">
        <v>95</v>
      </c>
      <c r="L40" s="67" t="str">
        <f t="shared" ca="1" si="16"/>
        <v>Passed</v>
      </c>
      <c r="N40" s="342" t="s">
        <v>76</v>
      </c>
      <c r="O40" s="343">
        <v>2024</v>
      </c>
      <c r="P40" s="344">
        <v>160</v>
      </c>
    </row>
    <row r="41" spans="2:16" ht="15.75" thickBot="1">
      <c r="B41" s="107">
        <v>46289</v>
      </c>
      <c r="C41" s="172" t="str">
        <f t="shared" si="13"/>
        <v>Thu</v>
      </c>
      <c r="D41" s="162">
        <v>0.58333333333333337</v>
      </c>
      <c r="E41" s="162">
        <v>0.66666666666666663</v>
      </c>
      <c r="F41" s="361">
        <f t="shared" si="14"/>
        <v>1.9999999999999982</v>
      </c>
      <c r="G41" s="172">
        <f t="shared" si="15"/>
        <v>1.9999999999999982</v>
      </c>
      <c r="H41" s="187" t="s">
        <v>32</v>
      </c>
      <c r="I41" s="202" t="s">
        <v>20</v>
      </c>
      <c r="J41" s="202" t="s">
        <v>20</v>
      </c>
      <c r="K41" s="212" t="s">
        <v>96</v>
      </c>
      <c r="L41" s="251" t="str">
        <f t="shared" ca="1" si="16"/>
        <v>Passed</v>
      </c>
      <c r="N41" s="345" t="s">
        <v>77</v>
      </c>
      <c r="O41" s="346">
        <v>2025</v>
      </c>
      <c r="P41" s="347">
        <v>160</v>
      </c>
    </row>
    <row r="42" spans="2:16">
      <c r="B42" s="295">
        <v>46297</v>
      </c>
      <c r="C42" s="296" t="str">
        <f>IF(ISNUMBER(FIND("?", B42, 1)), "TBD", TEXT(B42, "ddd"))</f>
        <v>Fri</v>
      </c>
      <c r="D42" s="297">
        <v>0.29166666666666669</v>
      </c>
      <c r="E42" s="297">
        <v>0.375</v>
      </c>
      <c r="F42" s="298">
        <f t="shared" si="14"/>
        <v>1.9999999999999996</v>
      </c>
      <c r="G42" s="296">
        <f t="shared" si="15"/>
        <v>1.9999999999999996</v>
      </c>
      <c r="H42" s="299" t="s">
        <v>32</v>
      </c>
      <c r="I42" s="196" t="s">
        <v>20</v>
      </c>
      <c r="J42" s="196" t="s">
        <v>20</v>
      </c>
      <c r="K42" s="362" t="s">
        <v>94</v>
      </c>
      <c r="L42" s="42" t="str">
        <f t="shared" ca="1" si="16"/>
        <v>Passed</v>
      </c>
      <c r="N42" s="337" t="s">
        <v>78</v>
      </c>
      <c r="O42" s="70">
        <v>2026</v>
      </c>
      <c r="P42" s="338">
        <v>160</v>
      </c>
    </row>
    <row r="43" spans="2:16" ht="15.75" thickBot="1">
      <c r="B43" s="363">
        <v>46297</v>
      </c>
      <c r="C43" s="364" t="str">
        <f>IF(ISNUMBER(FIND("?", B43, 1)), "TBD", TEXT(B43, "ddd"))</f>
        <v>Fri</v>
      </c>
      <c r="D43" s="365">
        <v>0.58333333333333337</v>
      </c>
      <c r="E43" s="365">
        <v>0.66666666666666663</v>
      </c>
      <c r="F43" s="366">
        <f t="shared" si="14"/>
        <v>1.9999999999999982</v>
      </c>
      <c r="G43" s="364">
        <f t="shared" si="15"/>
        <v>1.9999999999999982</v>
      </c>
      <c r="H43" s="367" t="s">
        <v>32</v>
      </c>
      <c r="I43" s="244" t="s">
        <v>20</v>
      </c>
      <c r="J43" s="244" t="s">
        <v>20</v>
      </c>
      <c r="K43" s="368" t="s">
        <v>94</v>
      </c>
      <c r="L43" s="60" t="str">
        <f t="shared" ca="1" si="16"/>
        <v>Passed</v>
      </c>
      <c r="N43" s="337" t="s">
        <v>79</v>
      </c>
      <c r="O43" s="70">
        <v>2027</v>
      </c>
      <c r="P43" s="338">
        <v>160</v>
      </c>
    </row>
    <row r="44" spans="2:16" ht="15.75" thickBot="1">
      <c r="B44" s="124">
        <v>46353</v>
      </c>
      <c r="C44" s="173" t="str">
        <f t="shared" si="5"/>
        <v>Fri</v>
      </c>
      <c r="D44" s="155">
        <v>0.29166666666666669</v>
      </c>
      <c r="E44" s="155">
        <v>0.66666666666666663</v>
      </c>
      <c r="F44" s="226">
        <f t="shared" si="6"/>
        <v>8.9999999999999982</v>
      </c>
      <c r="G44" s="173">
        <f t="shared" si="7"/>
        <v>7.9999999999999982</v>
      </c>
      <c r="H44" s="188" t="s">
        <v>4</v>
      </c>
      <c r="I44" s="200" t="s">
        <v>20</v>
      </c>
      <c r="J44" s="200" t="s">
        <v>20</v>
      </c>
      <c r="K44" s="269" t="s">
        <v>14</v>
      </c>
      <c r="L44" s="192" t="str">
        <f t="shared" ca="1" si="8"/>
        <v>Upcoming</v>
      </c>
      <c r="N44" s="337" t="s">
        <v>80</v>
      </c>
      <c r="O44" s="70">
        <v>2028</v>
      </c>
      <c r="P44" s="338">
        <v>176</v>
      </c>
    </row>
    <row r="45" spans="2:16">
      <c r="B45" s="112">
        <v>46380</v>
      </c>
      <c r="C45" s="264" t="str">
        <f t="shared" si="5"/>
        <v>Thu</v>
      </c>
      <c r="D45" s="262">
        <v>0.29166666666666669</v>
      </c>
      <c r="E45" s="262">
        <v>0.66666666666666663</v>
      </c>
      <c r="F45" s="263">
        <f t="shared" si="6"/>
        <v>8.9999999999999982</v>
      </c>
      <c r="G45" s="264">
        <f t="shared" si="7"/>
        <v>7.9999999999999982</v>
      </c>
      <c r="H45" s="265" t="s">
        <v>4</v>
      </c>
      <c r="I45" s="196" t="s">
        <v>20</v>
      </c>
      <c r="J45" s="196" t="s">
        <v>20</v>
      </c>
      <c r="K45" s="266" t="s">
        <v>60</v>
      </c>
      <c r="L45" s="42" t="str">
        <f t="shared" ca="1" si="8"/>
        <v>Upcoming</v>
      </c>
      <c r="N45" s="337" t="s">
        <v>81</v>
      </c>
      <c r="O45" s="70">
        <v>2029</v>
      </c>
      <c r="P45" s="338">
        <v>176</v>
      </c>
    </row>
    <row r="46" spans="2:16">
      <c r="B46" s="120">
        <v>46384</v>
      </c>
      <c r="C46" s="274" t="str">
        <f t="shared" si="5"/>
        <v>Mon</v>
      </c>
      <c r="D46" s="275">
        <v>0.29166666666666669</v>
      </c>
      <c r="E46" s="275">
        <v>0.66666666666666663</v>
      </c>
      <c r="F46" s="276">
        <f t="shared" si="6"/>
        <v>8.9999999999999982</v>
      </c>
      <c r="G46" s="274">
        <f t="shared" si="7"/>
        <v>7.9999999999999982</v>
      </c>
      <c r="H46" s="277" t="s">
        <v>4</v>
      </c>
      <c r="I46" s="199" t="s">
        <v>20</v>
      </c>
      <c r="J46" s="199" t="s">
        <v>20</v>
      </c>
      <c r="K46" s="278" t="s">
        <v>60</v>
      </c>
      <c r="L46" s="59" t="str">
        <f t="shared" ca="1" si="8"/>
        <v>Upcoming</v>
      </c>
      <c r="N46" s="337" t="s">
        <v>82</v>
      </c>
      <c r="O46" s="70">
        <v>2030</v>
      </c>
      <c r="P46" s="338">
        <v>176</v>
      </c>
    </row>
    <row r="47" spans="2:16">
      <c r="B47" s="270">
        <v>46385</v>
      </c>
      <c r="C47" s="271" t="str">
        <f t="shared" si="5"/>
        <v>Tue</v>
      </c>
      <c r="D47" s="275">
        <v>0.29166666666666669</v>
      </c>
      <c r="E47" s="275">
        <v>0.66666666666666663</v>
      </c>
      <c r="F47" s="276">
        <f t="shared" ref="F47:F49" si="17">((E47 - D47) * 24)</f>
        <v>8.9999999999999982</v>
      </c>
      <c r="G47" s="274">
        <f t="shared" si="7"/>
        <v>7.9999999999999982</v>
      </c>
      <c r="H47" s="272" t="s">
        <v>4</v>
      </c>
      <c r="I47" s="198" t="s">
        <v>20</v>
      </c>
      <c r="J47" s="198" t="s">
        <v>20</v>
      </c>
      <c r="K47" s="273" t="s">
        <v>60</v>
      </c>
      <c r="L47" s="193" t="str">
        <f t="shared" ca="1" si="8"/>
        <v>Upcoming</v>
      </c>
      <c r="N47" s="337" t="s">
        <v>83</v>
      </c>
      <c r="O47" s="70">
        <v>2031</v>
      </c>
      <c r="P47" s="338">
        <v>176</v>
      </c>
    </row>
    <row r="48" spans="2:16">
      <c r="B48" s="270">
        <v>46386</v>
      </c>
      <c r="C48" s="271" t="str">
        <f t="shared" si="5"/>
        <v>Wed</v>
      </c>
      <c r="D48" s="275">
        <v>0.29166666666666669</v>
      </c>
      <c r="E48" s="275">
        <v>0.66666666666666663</v>
      </c>
      <c r="F48" s="276">
        <f t="shared" si="17"/>
        <v>8.9999999999999982</v>
      </c>
      <c r="G48" s="274">
        <f t="shared" si="7"/>
        <v>7.9999999999999982</v>
      </c>
      <c r="H48" s="272" t="s">
        <v>4</v>
      </c>
      <c r="I48" s="198" t="s">
        <v>20</v>
      </c>
      <c r="J48" s="198" t="s">
        <v>20</v>
      </c>
      <c r="K48" s="273" t="s">
        <v>60</v>
      </c>
      <c r="L48" s="193" t="str">
        <f t="shared" ca="1" si="8"/>
        <v>Upcoming</v>
      </c>
      <c r="N48" s="337" t="s">
        <v>84</v>
      </c>
      <c r="O48" s="70">
        <v>2032</v>
      </c>
      <c r="P48" s="338">
        <v>176</v>
      </c>
    </row>
    <row r="49" spans="2:16" ht="15.75" thickBot="1">
      <c r="B49" s="113">
        <v>46387</v>
      </c>
      <c r="C49" s="271" t="str">
        <f t="shared" si="5"/>
        <v>Thu</v>
      </c>
      <c r="D49" s="275">
        <v>0.29166666666666669</v>
      </c>
      <c r="E49" s="275">
        <v>0.66666666666666663</v>
      </c>
      <c r="F49" s="276">
        <f t="shared" si="17"/>
        <v>8.9999999999999982</v>
      </c>
      <c r="G49" s="274">
        <f t="shared" si="7"/>
        <v>7.9999999999999982</v>
      </c>
      <c r="H49" s="267" t="s">
        <v>4</v>
      </c>
      <c r="I49" s="244" t="s">
        <v>20</v>
      </c>
      <c r="J49" s="244" t="s">
        <v>20</v>
      </c>
      <c r="K49" s="268" t="s">
        <v>60</v>
      </c>
      <c r="L49" s="193" t="str">
        <f t="shared" ca="1" si="8"/>
        <v>Upcoming</v>
      </c>
      <c r="N49" s="339" t="s">
        <v>85</v>
      </c>
      <c r="O49" s="340">
        <v>2033</v>
      </c>
      <c r="P49" s="341">
        <f>192 + 10</f>
        <v>202</v>
      </c>
    </row>
    <row r="50" spans="2:16">
      <c r="B50" s="102"/>
      <c r="C50" s="165" t="str">
        <f t="shared" ref="C50:C51" si="18">IF(ISNUMBER(FIND("?", B50, 1)), "TBD", TEXT(B50, "ddd"))</f>
        <v>Sat</v>
      </c>
      <c r="D50" s="157"/>
      <c r="E50" s="157"/>
      <c r="F50" s="220">
        <f t="shared" ref="F50:F51" si="19">((E50 - D50) * 24)</f>
        <v>0</v>
      </c>
      <c r="G50" s="217">
        <f t="shared" ref="G50:G51" si="20">IF(F50 &gt; 4, (F50 - 1), F50)</f>
        <v>0</v>
      </c>
      <c r="H50" s="180"/>
      <c r="I50" s="197" t="s">
        <v>66</v>
      </c>
      <c r="J50" s="197" t="s">
        <v>66</v>
      </c>
      <c r="K50" s="205"/>
      <c r="L50" s="252" t="str">
        <f t="shared" ref="L50:L51" ca="1" si="21">IF(C50 = "TBD", "TBD", IF(B50 = "", "IDK!!", IF(TODAY() &gt; B50, "Passed", IF(TODAY() = B50, "Today!!", "Upcoming"))))</f>
        <v>IDK!!</v>
      </c>
    </row>
    <row r="51" spans="2:16" ht="15.75" thickBot="1">
      <c r="B51" s="259"/>
      <c r="C51" s="253" t="str">
        <f t="shared" si="18"/>
        <v>Sat</v>
      </c>
      <c r="D51" s="260"/>
      <c r="E51" s="260"/>
      <c r="F51" s="261">
        <f t="shared" si="19"/>
        <v>0</v>
      </c>
      <c r="G51" s="253">
        <f t="shared" si="20"/>
        <v>0</v>
      </c>
      <c r="H51" s="254"/>
      <c r="I51" s="202" t="s">
        <v>66</v>
      </c>
      <c r="J51" s="202" t="s">
        <v>66</v>
      </c>
      <c r="K51" s="255"/>
      <c r="L51" s="251" t="str">
        <f t="shared" ca="1" si="21"/>
        <v>IDK!!</v>
      </c>
    </row>
    <row r="52" spans="2:16" ht="15.75" thickBot="1">
      <c r="B52" s="86" t="s">
        <v>11</v>
      </c>
      <c r="C52" s="303"/>
      <c r="D52" s="304"/>
      <c r="E52" s="305"/>
      <c r="F52" s="228">
        <f>SUM(F14:F51)</f>
        <v>187.5</v>
      </c>
      <c r="G52" s="256">
        <f>SUM(G14:G51)</f>
        <v>164.5</v>
      </c>
      <c r="H52" s="301"/>
      <c r="I52" s="302"/>
      <c r="J52" s="302"/>
      <c r="K52" s="302"/>
      <c r="L52" s="302"/>
    </row>
  </sheetData>
  <autoFilter ref="B13:K52" xr:uid="{4B51B8F7-4ACE-45CA-965B-2AD2897F333A}"/>
  <phoneticPr fontId="5" type="noConversion"/>
  <conditionalFormatting sqref="B14:L51">
    <cfRule type="expression" dxfId="21" priority="6">
      <formula>$L14="Passed"</formula>
    </cfRule>
  </conditionalFormatting>
  <conditionalFormatting sqref="C14:F51 L14:L51">
    <cfRule type="cellIs" dxfId="20" priority="7" operator="equal">
      <formula>"TBD"</formula>
    </cfRule>
  </conditionalFormatting>
  <conditionalFormatting sqref="E3 E5 E8:E9">
    <cfRule type="cellIs" dxfId="19" priority="1" operator="equal">
      <formula>0</formula>
    </cfRule>
    <cfRule type="cellIs" dxfId="18" priority="2" operator="lessThan">
      <formula>0</formula>
    </cfRule>
    <cfRule type="cellIs" dxfId="17" priority="3" operator="greaterThan">
      <formula>0</formula>
    </cfRule>
  </conditionalFormatting>
  <conditionalFormatting sqref="I14:J51">
    <cfRule type="cellIs" dxfId="16" priority="5" operator="equal">
      <formula>"N/A"</formula>
    </cfRule>
    <cfRule type="cellIs" dxfId="15" priority="9" operator="equal">
      <formula>"No"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EB3B-515A-4E94-895F-88D262D477C2}">
  <dimension ref="B1:H44"/>
  <sheetViews>
    <sheetView zoomScale="85" zoomScaleNormal="85" workbookViewId="0">
      <pane ySplit="11" topLeftCell="A12" activePane="bottomLeft" state="frozen"/>
      <selection pane="bottomLeft" sqref="A1:A2"/>
    </sheetView>
  </sheetViews>
  <sheetFormatPr defaultRowHeight="15"/>
  <cols>
    <col min="2" max="2" width="23" bestFit="1" customWidth="1"/>
    <col min="3" max="3" width="13.140625" bestFit="1" customWidth="1"/>
    <col min="4" max="4" width="11.5703125" bestFit="1" customWidth="1"/>
    <col min="5" max="6" width="18.85546875" bestFit="1" customWidth="1"/>
    <col min="7" max="7" width="34.42578125" bestFit="1" customWidth="1"/>
    <col min="8" max="8" width="13.42578125" bestFit="1" customWidth="1"/>
  </cols>
  <sheetData>
    <row r="1" spans="2:8" ht="15.75" thickBot="1"/>
    <row r="2" spans="2:8" ht="18" thickBot="1">
      <c r="B2" s="16" t="s">
        <v>17</v>
      </c>
      <c r="C2" s="17" t="s">
        <v>0</v>
      </c>
      <c r="D2" s="17" t="s">
        <v>26</v>
      </c>
      <c r="E2" s="18" t="s">
        <v>12</v>
      </c>
    </row>
    <row r="3" spans="2:8">
      <c r="B3" s="4" t="s">
        <v>6</v>
      </c>
      <c r="C3" s="3" t="e">
        <f ca="1">160+C4</f>
        <v>#VALUE!</v>
      </c>
      <c r="D3" s="3" t="e">
        <f ca="1">C3-E3</f>
        <v>#VALUE!</v>
      </c>
      <c r="E3" s="1" t="e">
        <f ca="1">C3 - C6 - SUMIF(E14:E43, "PTO", D14:D43)</f>
        <v>#VALUE!</v>
      </c>
      <c r="G3" s="56" t="e" cm="1">
        <f t="array" aca="1" ref="G3" ca="1">"PTO Reset: 02/12/" &amp; (RIGHT(CELL("filename",A2),LEN(CELL("filename",A2))-SEARCH("]",CELL("filename",A2)))) + 1</f>
        <v>#VALUE!</v>
      </c>
    </row>
    <row r="4" spans="2:8">
      <c r="B4" s="5" t="s">
        <v>38</v>
      </c>
      <c r="C4" s="2" t="e" cm="1">
        <f t="array" aca="1" ref="C4" ca="1">IF((RIGHT(CELL("filename",A2),LEN(CELL("filename",A2))-SEARCH("]",CELL("filename",A2))))&lt;&gt;"Template", INDIRECT("'"&amp;(RIGHT(CELL("filename",A2),LEN(CELL("filename",A2))-SEARCH("]",CELL("filename",A2))))-1&amp;"'!E3"), 0)</f>
        <v>#VALUE!</v>
      </c>
      <c r="D4" s="74"/>
      <c r="E4" s="75"/>
    </row>
    <row r="5" spans="2:8" ht="15.75" thickBot="1">
      <c r="B5" s="6" t="s">
        <v>5</v>
      </c>
      <c r="C5" s="7" t="e">
        <f ca="1">C3/8</f>
        <v>#VALUE!</v>
      </c>
      <c r="D5" s="7" t="e">
        <f ca="1">D3/8</f>
        <v>#VALUE!</v>
      </c>
      <c r="E5" s="8" t="e">
        <f ca="1">E3/8</f>
        <v>#VALUE!</v>
      </c>
    </row>
    <row r="6" spans="2:8">
      <c r="B6" s="9" t="s">
        <v>15</v>
      </c>
      <c r="C6" s="10">
        <v>40</v>
      </c>
      <c r="D6" s="10">
        <f>C6-E6</f>
        <v>16</v>
      </c>
      <c r="E6" s="11">
        <f>C6 - SUMIF(E14:E43, "Sick", D14:D43)</f>
        <v>24</v>
      </c>
    </row>
    <row r="7" spans="2:8" ht="15.75" thickBot="1">
      <c r="B7" s="12" t="s">
        <v>16</v>
      </c>
      <c r="C7" s="13">
        <f>C6/8</f>
        <v>5</v>
      </c>
      <c r="D7" s="13">
        <f>D6/8</f>
        <v>2</v>
      </c>
      <c r="E7" s="14">
        <f>E6/8</f>
        <v>3</v>
      </c>
    </row>
    <row r="8" spans="2:8">
      <c r="B8" s="5" t="s">
        <v>7</v>
      </c>
      <c r="C8" s="2">
        <v>16</v>
      </c>
      <c r="D8" s="2">
        <f>C8-E8</f>
        <v>16</v>
      </c>
      <c r="E8" s="1">
        <f>C8 - SUMIF(E14:E43, "Be You", D14:D43)</f>
        <v>0</v>
      </c>
      <c r="G8" s="51"/>
    </row>
    <row r="9" spans="2:8" ht="15.75" thickBot="1">
      <c r="B9" s="6" t="s">
        <v>8</v>
      </c>
      <c r="C9" s="7">
        <f>C8/8</f>
        <v>2</v>
      </c>
      <c r="D9" s="7">
        <f>D8/8</f>
        <v>2</v>
      </c>
      <c r="E9" s="15">
        <f>E8/8</f>
        <v>0</v>
      </c>
    </row>
    <row r="10" spans="2:8">
      <c r="B10" s="127" t="s">
        <v>22</v>
      </c>
      <c r="C10" s="128">
        <v>4</v>
      </c>
      <c r="D10" s="128">
        <f>C10-E10</f>
        <v>0</v>
      </c>
      <c r="E10" s="129">
        <f>C10 - SUMIF(E17:E43, "Volunteer", D17:D43)</f>
        <v>4</v>
      </c>
      <c r="G10" s="36"/>
    </row>
    <row r="11" spans="2:8" ht="15.75" thickBot="1">
      <c r="B11" s="130" t="s">
        <v>23</v>
      </c>
      <c r="C11" s="131">
        <f>C10/8</f>
        <v>0.5</v>
      </c>
      <c r="D11" s="131">
        <f>D10/8</f>
        <v>0</v>
      </c>
      <c r="E11" s="132">
        <f>E10/8</f>
        <v>0.5</v>
      </c>
      <c r="G11" s="36"/>
    </row>
    <row r="12" spans="2:8" ht="15.75" thickBot="1"/>
    <row r="13" spans="2:8" ht="35.25" thickBot="1">
      <c r="B13" s="28" t="s">
        <v>1</v>
      </c>
      <c r="C13" s="146" t="s">
        <v>48</v>
      </c>
      <c r="D13" s="29" t="s">
        <v>2</v>
      </c>
      <c r="E13" s="29" t="s">
        <v>9</v>
      </c>
      <c r="F13" s="30" t="s">
        <v>21</v>
      </c>
      <c r="G13" s="37" t="s">
        <v>3</v>
      </c>
      <c r="H13" s="147" t="s">
        <v>47</v>
      </c>
    </row>
    <row r="14" spans="2:8" ht="15.75" thickBot="1">
      <c r="B14" s="133">
        <v>45743</v>
      </c>
      <c r="C14" s="134" t="str">
        <f t="shared" ref="C14:C43" si="0">IF(ISNUMBER(FIND("?", B14, 1)), "TBD", TEXT(B14, "ddd"))</f>
        <v>Thu</v>
      </c>
      <c r="D14" s="134">
        <v>1.5</v>
      </c>
      <c r="E14" s="134" t="s">
        <v>4</v>
      </c>
      <c r="F14" s="40" t="s">
        <v>20</v>
      </c>
      <c r="G14" s="135" t="s">
        <v>43</v>
      </c>
      <c r="H14" s="97" t="str">
        <f t="shared" ref="H14:H43" ca="1" si="1">IF(C14 = "TBD", "TBD", IF(B14 = "", "IDK!!", IF(TODAY() &gt; B14, "Passed", IF(TODAY() = B14, "Today!!", "Upcoming"))))</f>
        <v>Passed</v>
      </c>
    </row>
    <row r="15" spans="2:8">
      <c r="B15" s="102">
        <v>45783</v>
      </c>
      <c r="C15" s="95" t="str">
        <f t="shared" si="0"/>
        <v>Tue</v>
      </c>
      <c r="D15" s="95">
        <v>8</v>
      </c>
      <c r="E15" s="95" t="s">
        <v>32</v>
      </c>
      <c r="F15" s="136" t="s">
        <v>20</v>
      </c>
      <c r="G15" s="96" t="s">
        <v>32</v>
      </c>
      <c r="H15" s="73" t="str">
        <f t="shared" ca="1" si="1"/>
        <v>Passed</v>
      </c>
    </row>
    <row r="16" spans="2:8">
      <c r="B16" s="140">
        <v>45797</v>
      </c>
      <c r="C16" s="141" t="str">
        <f t="shared" si="0"/>
        <v>Tue</v>
      </c>
      <c r="D16" s="141">
        <v>4</v>
      </c>
      <c r="E16" s="141" t="s">
        <v>32</v>
      </c>
      <c r="F16" s="76" t="s">
        <v>20</v>
      </c>
      <c r="G16" s="142" t="s">
        <v>44</v>
      </c>
      <c r="H16" s="48" t="str">
        <f t="shared" ca="1" si="1"/>
        <v>Passed</v>
      </c>
    </row>
    <row r="17" spans="2:8" ht="15.75" thickBot="1">
      <c r="B17" s="137">
        <v>45800</v>
      </c>
      <c r="C17" s="138" t="str">
        <f t="shared" si="0"/>
        <v>Fri</v>
      </c>
      <c r="D17" s="138">
        <v>4</v>
      </c>
      <c r="E17" s="138" t="s">
        <v>4</v>
      </c>
      <c r="F17" s="58" t="s">
        <v>20</v>
      </c>
      <c r="G17" s="139" t="s">
        <v>42</v>
      </c>
      <c r="H17" s="67" t="str">
        <f t="shared" ca="1" si="1"/>
        <v>Passed</v>
      </c>
    </row>
    <row r="18" spans="2:8" ht="15.75" thickBot="1">
      <c r="B18" s="148">
        <v>45827</v>
      </c>
      <c r="C18" s="149" t="str">
        <f t="shared" si="0"/>
        <v>Thu</v>
      </c>
      <c r="D18" s="149">
        <v>8</v>
      </c>
      <c r="E18" s="149" t="s">
        <v>10</v>
      </c>
      <c r="F18" s="78" t="s">
        <v>20</v>
      </c>
      <c r="G18" s="150" t="s">
        <v>45</v>
      </c>
      <c r="H18" s="97" t="str">
        <f t="shared" ca="1" si="1"/>
        <v>Passed</v>
      </c>
    </row>
    <row r="19" spans="2:8" ht="15.75" thickBot="1">
      <c r="B19" s="143">
        <v>45849</v>
      </c>
      <c r="C19" s="144" t="str">
        <f t="shared" si="0"/>
        <v>Fri</v>
      </c>
      <c r="D19" s="144">
        <v>8</v>
      </c>
      <c r="E19" s="144" t="s">
        <v>4</v>
      </c>
      <c r="F19" s="145" t="s">
        <v>20</v>
      </c>
      <c r="G19" s="151" t="s">
        <v>46</v>
      </c>
      <c r="H19" s="54" t="str">
        <f t="shared" ca="1" si="1"/>
        <v>Passed</v>
      </c>
    </row>
    <row r="20" spans="2:8">
      <c r="B20" s="105">
        <v>45873</v>
      </c>
      <c r="C20" s="79" t="str">
        <f t="shared" si="0"/>
        <v>Mon</v>
      </c>
      <c r="D20" s="79">
        <v>3</v>
      </c>
      <c r="E20" s="79" t="s">
        <v>4</v>
      </c>
      <c r="F20" s="40" t="s">
        <v>20</v>
      </c>
      <c r="G20" s="82" t="s">
        <v>40</v>
      </c>
      <c r="H20" s="73" t="str">
        <f t="shared" ca="1" si="1"/>
        <v>Passed</v>
      </c>
    </row>
    <row r="21" spans="2:8">
      <c r="B21" s="106">
        <v>45874</v>
      </c>
      <c r="C21" s="80" t="str">
        <f t="shared" si="0"/>
        <v>Tue</v>
      </c>
      <c r="D21" s="80">
        <v>3</v>
      </c>
      <c r="E21" s="80" t="s">
        <v>4</v>
      </c>
      <c r="F21" s="76" t="s">
        <v>20</v>
      </c>
      <c r="G21" s="83" t="s">
        <v>40</v>
      </c>
      <c r="H21" s="48" t="str">
        <f t="shared" ca="1" si="1"/>
        <v>Passed</v>
      </c>
    </row>
    <row r="22" spans="2:8">
      <c r="B22" s="106">
        <v>45875</v>
      </c>
      <c r="C22" s="80" t="str">
        <f t="shared" si="0"/>
        <v>Wed</v>
      </c>
      <c r="D22" s="80">
        <v>3</v>
      </c>
      <c r="E22" s="80" t="s">
        <v>4</v>
      </c>
      <c r="F22" s="76" t="s">
        <v>20</v>
      </c>
      <c r="G22" s="83" t="s">
        <v>40</v>
      </c>
      <c r="H22" s="48" t="str">
        <f t="shared" ca="1" si="1"/>
        <v>Passed</v>
      </c>
    </row>
    <row r="23" spans="2:8">
      <c r="B23" s="106">
        <v>45876</v>
      </c>
      <c r="C23" s="80" t="str">
        <f t="shared" si="0"/>
        <v>Thu</v>
      </c>
      <c r="D23" s="80">
        <v>4</v>
      </c>
      <c r="E23" s="80" t="s">
        <v>4</v>
      </c>
      <c r="F23" s="76" t="s">
        <v>20</v>
      </c>
      <c r="G23" s="83" t="s">
        <v>40</v>
      </c>
      <c r="H23" s="48" t="str">
        <f t="shared" ca="1" si="1"/>
        <v>Passed</v>
      </c>
    </row>
    <row r="24" spans="2:8">
      <c r="B24" s="106">
        <v>45877</v>
      </c>
      <c r="C24" s="80" t="str">
        <f t="shared" si="0"/>
        <v>Fri</v>
      </c>
      <c r="D24" s="80">
        <v>3</v>
      </c>
      <c r="E24" s="80" t="s">
        <v>4</v>
      </c>
      <c r="F24" s="76" t="s">
        <v>20</v>
      </c>
      <c r="G24" s="83" t="s">
        <v>40</v>
      </c>
      <c r="H24" s="48" t="str">
        <f t="shared" ca="1" si="1"/>
        <v>Passed</v>
      </c>
    </row>
    <row r="25" spans="2:8">
      <c r="B25" s="106">
        <v>45880</v>
      </c>
      <c r="C25" s="80" t="str">
        <f t="shared" si="0"/>
        <v>Mon</v>
      </c>
      <c r="D25" s="80">
        <v>3</v>
      </c>
      <c r="E25" s="80" t="s">
        <v>4</v>
      </c>
      <c r="F25" s="76" t="s">
        <v>20</v>
      </c>
      <c r="G25" s="83" t="s">
        <v>30</v>
      </c>
      <c r="H25" s="48" t="str">
        <f t="shared" ca="1" si="1"/>
        <v>Passed</v>
      </c>
    </row>
    <row r="26" spans="2:8">
      <c r="B26" s="106">
        <v>45880</v>
      </c>
      <c r="C26" s="80" t="str">
        <f t="shared" si="0"/>
        <v>Mon</v>
      </c>
      <c r="D26" s="80">
        <v>1.5</v>
      </c>
      <c r="E26" s="80" t="s">
        <v>4</v>
      </c>
      <c r="F26" s="76" t="s">
        <v>20</v>
      </c>
      <c r="G26" s="83" t="s">
        <v>39</v>
      </c>
      <c r="H26" s="48" t="str">
        <f t="shared" ca="1" si="1"/>
        <v>Passed</v>
      </c>
    </row>
    <row r="27" spans="2:8">
      <c r="B27" s="106">
        <v>45881</v>
      </c>
      <c r="C27" s="80" t="str">
        <f t="shared" si="0"/>
        <v>Tue</v>
      </c>
      <c r="D27" s="80">
        <v>3</v>
      </c>
      <c r="E27" s="80" t="s">
        <v>4</v>
      </c>
      <c r="F27" s="76" t="s">
        <v>20</v>
      </c>
      <c r="G27" s="83" t="s">
        <v>39</v>
      </c>
      <c r="H27" s="48" t="str">
        <f t="shared" ca="1" si="1"/>
        <v>Passed</v>
      </c>
    </row>
    <row r="28" spans="2:8">
      <c r="B28" s="106">
        <v>45882</v>
      </c>
      <c r="C28" s="80" t="str">
        <f t="shared" si="0"/>
        <v>Wed</v>
      </c>
      <c r="D28" s="80">
        <v>3</v>
      </c>
      <c r="E28" s="80" t="s">
        <v>4</v>
      </c>
      <c r="F28" s="76" t="s">
        <v>20</v>
      </c>
      <c r="G28" s="83" t="s">
        <v>39</v>
      </c>
      <c r="H28" s="48" t="str">
        <f t="shared" ca="1" si="1"/>
        <v>Passed</v>
      </c>
    </row>
    <row r="29" spans="2:8">
      <c r="B29" s="106">
        <v>45883</v>
      </c>
      <c r="C29" s="80" t="str">
        <f t="shared" si="0"/>
        <v>Thu</v>
      </c>
      <c r="D29" s="80">
        <v>3</v>
      </c>
      <c r="E29" s="80" t="s">
        <v>4</v>
      </c>
      <c r="F29" s="76" t="s">
        <v>20</v>
      </c>
      <c r="G29" s="83" t="s">
        <v>39</v>
      </c>
      <c r="H29" s="48" t="str">
        <f t="shared" ca="1" si="1"/>
        <v>Passed</v>
      </c>
    </row>
    <row r="30" spans="2:8">
      <c r="B30" s="107">
        <v>45884</v>
      </c>
      <c r="C30" s="81" t="str">
        <f t="shared" si="0"/>
        <v>Fri</v>
      </c>
      <c r="D30" s="81">
        <v>3</v>
      </c>
      <c r="E30" s="81" t="s">
        <v>4</v>
      </c>
      <c r="F30" s="76" t="s">
        <v>20</v>
      </c>
      <c r="G30" s="84" t="s">
        <v>39</v>
      </c>
      <c r="H30" s="48" t="str">
        <f t="shared" ca="1" si="1"/>
        <v>Passed</v>
      </c>
    </row>
    <row r="31" spans="2:8">
      <c r="B31" s="107">
        <v>45884</v>
      </c>
      <c r="C31" s="81" t="str">
        <f t="shared" si="0"/>
        <v>Fri</v>
      </c>
      <c r="D31" s="81">
        <v>4</v>
      </c>
      <c r="E31" s="81" t="s">
        <v>10</v>
      </c>
      <c r="F31" s="76" t="s">
        <v>20</v>
      </c>
      <c r="G31" s="84" t="s">
        <v>50</v>
      </c>
      <c r="H31" s="48" t="str">
        <f t="shared" ca="1" si="1"/>
        <v>Passed</v>
      </c>
    </row>
    <row r="32" spans="2:8">
      <c r="B32" s="107">
        <v>45884</v>
      </c>
      <c r="C32" s="81" t="str">
        <f t="shared" si="0"/>
        <v>Fri</v>
      </c>
      <c r="D32" s="81">
        <v>1</v>
      </c>
      <c r="E32" s="81" t="s">
        <v>32</v>
      </c>
      <c r="F32" s="76" t="s">
        <v>20</v>
      </c>
      <c r="G32" s="84" t="s">
        <v>50</v>
      </c>
      <c r="H32" s="48" t="str">
        <f t="shared" ca="1" si="1"/>
        <v>Passed</v>
      </c>
    </row>
    <row r="33" spans="2:8">
      <c r="B33" s="107">
        <v>45889</v>
      </c>
      <c r="C33" s="81" t="str">
        <f t="shared" si="0"/>
        <v>Wed</v>
      </c>
      <c r="D33" s="81">
        <v>4</v>
      </c>
      <c r="E33" s="81" t="s">
        <v>10</v>
      </c>
      <c r="F33" s="76" t="s">
        <v>20</v>
      </c>
      <c r="G33" s="84" t="s">
        <v>27</v>
      </c>
      <c r="H33" s="48" t="str">
        <f t="shared" ca="1" si="1"/>
        <v>Passed</v>
      </c>
    </row>
    <row r="34" spans="2:8" ht="15.75" thickBot="1">
      <c r="B34" s="107">
        <v>45898</v>
      </c>
      <c r="C34" s="81" t="str">
        <f t="shared" si="0"/>
        <v>Fri</v>
      </c>
      <c r="D34" s="81">
        <v>4</v>
      </c>
      <c r="E34" s="81" t="s">
        <v>4</v>
      </c>
      <c r="F34" s="77" t="s">
        <v>20</v>
      </c>
      <c r="G34" s="84" t="s">
        <v>24</v>
      </c>
      <c r="H34" s="67" t="str">
        <f t="shared" ca="1" si="1"/>
        <v>Passed</v>
      </c>
    </row>
    <row r="35" spans="2:8" ht="15.75" thickBot="1">
      <c r="B35" s="124">
        <v>45908</v>
      </c>
      <c r="C35" s="125" t="str">
        <f t="shared" ref="C35" si="2">IF(ISNUMBER(FIND("?", B35, 1)), "TBD", TEXT(B35, "ddd"))</f>
        <v>Mon</v>
      </c>
      <c r="D35" s="125">
        <v>8</v>
      </c>
      <c r="E35" s="125" t="s">
        <v>4</v>
      </c>
      <c r="F35" s="64" t="s">
        <v>20</v>
      </c>
      <c r="G35" s="152" t="s">
        <v>51</v>
      </c>
      <c r="H35" s="47" t="str">
        <f t="shared" ca="1" si="1"/>
        <v>Passed</v>
      </c>
    </row>
    <row r="36" spans="2:8" ht="15.75" thickBot="1">
      <c r="B36" s="108">
        <v>45989</v>
      </c>
      <c r="C36" s="98" t="str">
        <f t="shared" si="0"/>
        <v>Fri</v>
      </c>
      <c r="D36" s="98">
        <v>8</v>
      </c>
      <c r="E36" s="98" t="s">
        <v>4</v>
      </c>
      <c r="F36" s="40" t="s">
        <v>20</v>
      </c>
      <c r="G36" s="99" t="s">
        <v>14</v>
      </c>
      <c r="H36" s="47" t="str">
        <f t="shared" ca="1" si="1"/>
        <v>Passed</v>
      </c>
    </row>
    <row r="37" spans="2:8">
      <c r="B37" s="109">
        <v>46014</v>
      </c>
      <c r="C37" s="91" t="str">
        <f t="shared" si="0"/>
        <v>Tue</v>
      </c>
      <c r="D37" s="91">
        <v>3</v>
      </c>
      <c r="E37" s="91" t="s">
        <v>32</v>
      </c>
      <c r="F37" s="40" t="s">
        <v>20</v>
      </c>
      <c r="G37" s="92" t="s">
        <v>52</v>
      </c>
      <c r="H37" s="47" t="str">
        <f t="shared" ca="1" si="1"/>
        <v>Passed</v>
      </c>
    </row>
    <row r="38" spans="2:8">
      <c r="B38" s="110">
        <v>46015</v>
      </c>
      <c r="C38" s="93" t="str">
        <f t="shared" si="0"/>
        <v>Wed</v>
      </c>
      <c r="D38" s="93">
        <v>8</v>
      </c>
      <c r="E38" s="93" t="s">
        <v>4</v>
      </c>
      <c r="F38" s="76" t="s">
        <v>20</v>
      </c>
      <c r="G38" s="94" t="s">
        <v>49</v>
      </c>
      <c r="H38" s="48" t="str">
        <f t="shared" ca="1" si="1"/>
        <v>Passed</v>
      </c>
    </row>
    <row r="39" spans="2:8">
      <c r="B39" s="110">
        <v>46017</v>
      </c>
      <c r="C39" s="93" t="str">
        <f t="shared" si="0"/>
        <v>Fri</v>
      </c>
      <c r="D39" s="93">
        <v>8</v>
      </c>
      <c r="E39" s="93" t="s">
        <v>4</v>
      </c>
      <c r="F39" s="76" t="s">
        <v>20</v>
      </c>
      <c r="G39" s="94" t="s">
        <v>49</v>
      </c>
      <c r="H39" s="48" t="str">
        <f t="shared" ca="1" si="1"/>
        <v>Passed</v>
      </c>
    </row>
    <row r="40" spans="2:8">
      <c r="B40" s="111">
        <v>46020</v>
      </c>
      <c r="C40" s="100" t="str">
        <f t="shared" si="0"/>
        <v>Mon</v>
      </c>
      <c r="D40" s="93">
        <v>8</v>
      </c>
      <c r="E40" s="100" t="s">
        <v>4</v>
      </c>
      <c r="F40" s="76" t="s">
        <v>20</v>
      </c>
      <c r="G40" s="101" t="s">
        <v>49</v>
      </c>
      <c r="H40" s="48" t="str">
        <f t="shared" ca="1" si="1"/>
        <v>Passed</v>
      </c>
    </row>
    <row r="41" spans="2:8">
      <c r="B41" s="111">
        <v>46021</v>
      </c>
      <c r="C41" s="100" t="str">
        <f t="shared" si="0"/>
        <v>Tue</v>
      </c>
      <c r="D41" s="93">
        <v>8</v>
      </c>
      <c r="E41" s="100" t="s">
        <v>4</v>
      </c>
      <c r="F41" s="76" t="s">
        <v>20</v>
      </c>
      <c r="G41" s="101" t="s">
        <v>49</v>
      </c>
      <c r="H41" s="48" t="str">
        <f t="shared" ca="1" si="1"/>
        <v>Passed</v>
      </c>
    </row>
    <row r="42" spans="2:8" ht="15.75" thickBot="1">
      <c r="B42" s="111">
        <v>46022</v>
      </c>
      <c r="C42" s="100" t="str">
        <f t="shared" si="0"/>
        <v>Wed</v>
      </c>
      <c r="D42" s="93">
        <v>8</v>
      </c>
      <c r="E42" s="100" t="s">
        <v>4</v>
      </c>
      <c r="F42" s="77" t="s">
        <v>20</v>
      </c>
      <c r="G42" s="101" t="s">
        <v>49</v>
      </c>
      <c r="H42" s="67" t="str">
        <f t="shared" ca="1" si="1"/>
        <v>Passed</v>
      </c>
    </row>
    <row r="43" spans="2:8" ht="15.75" thickBot="1">
      <c r="B43" s="124">
        <v>46024</v>
      </c>
      <c r="C43" s="125" t="str">
        <f t="shared" si="0"/>
        <v>Fri</v>
      </c>
      <c r="D43" s="125">
        <v>8</v>
      </c>
      <c r="E43" s="125" t="s">
        <v>4</v>
      </c>
      <c r="F43" s="78" t="s">
        <v>20</v>
      </c>
      <c r="G43" s="126" t="s">
        <v>49</v>
      </c>
      <c r="H43" s="97" t="str">
        <f t="shared" ca="1" si="1"/>
        <v>Passed</v>
      </c>
    </row>
    <row r="44" spans="2:8" ht="15.75" thickBot="1">
      <c r="B44" s="6" t="s">
        <v>11</v>
      </c>
      <c r="C44" s="19"/>
      <c r="D44" s="7">
        <f>SUM(D14:D43)</f>
        <v>146</v>
      </c>
      <c r="E44" s="19"/>
      <c r="F44" s="27"/>
      <c r="G44" s="27"/>
      <c r="H44" s="20"/>
    </row>
  </sheetData>
  <autoFilter ref="B13:G44" xr:uid="{4B51B8F7-4ACE-45CA-965B-2AD2897F333A}"/>
  <conditionalFormatting sqref="C14:C43 H14:H43">
    <cfRule type="cellIs" dxfId="14" priority="2" operator="equal">
      <formula>"TBD"</formula>
    </cfRule>
  </conditionalFormatting>
  <conditionalFormatting sqref="E3 E5">
    <cfRule type="cellIs" dxfId="13" priority="7" operator="greaterThan">
      <formula>0</formula>
    </cfRule>
  </conditionalFormatting>
  <conditionalFormatting sqref="E3 E5:E11">
    <cfRule type="cellIs" dxfId="12" priority="9" operator="lessThanOrEqual">
      <formula>0</formula>
    </cfRule>
  </conditionalFormatting>
  <conditionalFormatting sqref="F14:F43">
    <cfRule type="cellIs" dxfId="11" priority="8" operator="equal">
      <formula>"No"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B9BF-3416-48A7-87E4-2977D80A472D}">
  <dimension ref="B1:K48"/>
  <sheetViews>
    <sheetView zoomScale="85" zoomScaleNormal="85" workbookViewId="0">
      <pane ySplit="13" topLeftCell="A14" activePane="bottomLeft" state="frozen"/>
      <selection pane="bottomLeft"/>
    </sheetView>
  </sheetViews>
  <sheetFormatPr defaultRowHeight="15"/>
  <cols>
    <col min="2" max="2" width="23" bestFit="1" customWidth="1"/>
    <col min="3" max="3" width="13.140625" bestFit="1" customWidth="1"/>
    <col min="4" max="4" width="11.7109375" bestFit="1" customWidth="1"/>
    <col min="5" max="5" width="12.28515625" bestFit="1" customWidth="1"/>
    <col min="6" max="6" width="11.7109375" customWidth="1"/>
    <col min="7" max="7" width="11.5703125" bestFit="1" customWidth="1"/>
    <col min="8" max="9" width="18.85546875" bestFit="1" customWidth="1"/>
    <col min="10" max="10" width="34.42578125" bestFit="1" customWidth="1"/>
    <col min="11" max="11" width="13.42578125" bestFit="1" customWidth="1"/>
  </cols>
  <sheetData>
    <row r="1" spans="2:11" ht="15.75" thickBot="1"/>
    <row r="2" spans="2:11" ht="18" thickBot="1">
      <c r="B2" s="16" t="s">
        <v>17</v>
      </c>
      <c r="C2" s="17" t="s">
        <v>0</v>
      </c>
      <c r="D2" s="17" t="s">
        <v>26</v>
      </c>
      <c r="E2" s="18" t="s">
        <v>12</v>
      </c>
    </row>
    <row r="3" spans="2:11">
      <c r="B3" s="4" t="s">
        <v>6</v>
      </c>
      <c r="C3" s="3">
        <f ca="1">160+C4</f>
        <v>162</v>
      </c>
      <c r="D3" s="3">
        <f ca="1">C3-E3</f>
        <v>162</v>
      </c>
      <c r="E3" s="1">
        <f ca="1">C3 - C6 - SUMIF(H14:H47, "PTO", G14:G47)</f>
        <v>0</v>
      </c>
      <c r="J3" s="56" t="str" cm="1">
        <f t="array" aca="1" ref="J3" ca="1">"PTO Reset: 02/12/" &amp; (RIGHT(CELL("filename",A2),LEN(CELL("filename",A2))-SEARCH("]",CELL("filename",A2)))) + 1</f>
        <v>PTO Reset: 02/12/2026</v>
      </c>
    </row>
    <row r="4" spans="2:11">
      <c r="B4" s="5" t="s">
        <v>38</v>
      </c>
      <c r="C4" s="2" cm="1">
        <f t="array" aca="1" ref="C4" ca="1">IF((RIGHT(CELL("filename",A2),LEN(CELL("filename",A2))-SEARCH("]",CELL("filename",A2))))&lt;&gt;"Template", INDIRECT("'"&amp;(RIGHT(CELL("filename",A2),LEN(CELL("filename",A2))-SEARCH("]",CELL("filename",A2))))-1&amp;"'!E3"), 0)</f>
        <v>2</v>
      </c>
      <c r="D4" s="74"/>
      <c r="E4" s="75"/>
    </row>
    <row r="5" spans="2:11" ht="15.75" thickBot="1">
      <c r="B5" s="6" t="s">
        <v>5</v>
      </c>
      <c r="C5" s="7">
        <f ca="1">C3/8</f>
        <v>20.25</v>
      </c>
      <c r="D5" s="7">
        <f ca="1">D3/8</f>
        <v>20.25</v>
      </c>
      <c r="E5" s="8">
        <f ca="1">E3/8</f>
        <v>0</v>
      </c>
    </row>
    <row r="6" spans="2:11">
      <c r="B6" s="9" t="s">
        <v>15</v>
      </c>
      <c r="C6" s="10">
        <v>40</v>
      </c>
      <c r="D6" s="10">
        <f>C6-E6</f>
        <v>31.499999999999993</v>
      </c>
      <c r="E6" s="11">
        <f>C6 - SUMIF(H14:H47, "Sick", G14:G47)</f>
        <v>8.5000000000000071</v>
      </c>
    </row>
    <row r="7" spans="2:11" ht="15.75" thickBot="1">
      <c r="B7" s="12" t="s">
        <v>16</v>
      </c>
      <c r="C7" s="13">
        <f>C6/8</f>
        <v>5</v>
      </c>
      <c r="D7" s="13">
        <f>D6/8</f>
        <v>3.9374999999999991</v>
      </c>
      <c r="E7" s="14">
        <f>E6/8</f>
        <v>1.0625000000000009</v>
      </c>
    </row>
    <row r="8" spans="2:11">
      <c r="B8" s="5" t="s">
        <v>7</v>
      </c>
      <c r="C8" s="2">
        <v>16</v>
      </c>
      <c r="D8" s="2">
        <f>C8-E8</f>
        <v>16</v>
      </c>
      <c r="E8" s="1">
        <f>C8 - SUMIF(H14:H47, "Be You", G14:G47)</f>
        <v>0</v>
      </c>
      <c r="J8" s="51"/>
    </row>
    <row r="9" spans="2:11" ht="15.75" thickBot="1">
      <c r="B9" s="6" t="s">
        <v>8</v>
      </c>
      <c r="C9" s="7">
        <f>C8/8</f>
        <v>2</v>
      </c>
      <c r="D9" s="7">
        <f>D8/8</f>
        <v>2</v>
      </c>
      <c r="E9" s="15">
        <f>E8/8</f>
        <v>0</v>
      </c>
    </row>
    <row r="10" spans="2:11">
      <c r="B10" s="127" t="s">
        <v>22</v>
      </c>
      <c r="C10" s="128">
        <v>4</v>
      </c>
      <c r="D10" s="128">
        <f>C10-E10</f>
        <v>0</v>
      </c>
      <c r="E10" s="129">
        <f>C10 - SUMIF(H17:H47, "Volunteer", G17:G47)</f>
        <v>4</v>
      </c>
      <c r="J10" s="36"/>
    </row>
    <row r="11" spans="2:11" ht="15.75" thickBot="1">
      <c r="B11" s="130" t="s">
        <v>23</v>
      </c>
      <c r="C11" s="131">
        <f>C10/8</f>
        <v>0.5</v>
      </c>
      <c r="D11" s="131">
        <f>D10/8</f>
        <v>0</v>
      </c>
      <c r="E11" s="132">
        <f>E10/8</f>
        <v>0.5</v>
      </c>
      <c r="J11" s="36"/>
    </row>
    <row r="12" spans="2:11" ht="15.75" thickBot="1"/>
    <row r="13" spans="2:11" ht="35.25" thickBot="1">
      <c r="B13" s="28" t="s">
        <v>1</v>
      </c>
      <c r="C13" s="163" t="s">
        <v>48</v>
      </c>
      <c r="D13" s="146" t="s">
        <v>53</v>
      </c>
      <c r="E13" s="146" t="s">
        <v>54</v>
      </c>
      <c r="F13" s="218" t="s">
        <v>57</v>
      </c>
      <c r="G13" s="163" t="s">
        <v>56</v>
      </c>
      <c r="H13" s="178" t="s">
        <v>9</v>
      </c>
      <c r="I13" s="195" t="s">
        <v>21</v>
      </c>
      <c r="J13" s="203" t="s">
        <v>3</v>
      </c>
      <c r="K13" s="147" t="s">
        <v>47</v>
      </c>
    </row>
    <row r="14" spans="2:11" ht="15.75" thickBot="1">
      <c r="B14" s="133">
        <v>45743</v>
      </c>
      <c r="C14" s="164" t="str">
        <f t="shared" ref="C14:C47" si="0">IF(ISNUMBER(FIND("?", B14, 1)), "TBD", TEXT(B14, "ddd"))</f>
        <v>Thu</v>
      </c>
      <c r="D14" s="156">
        <v>0.60416666666666663</v>
      </c>
      <c r="E14" s="156">
        <v>0.66666666666666663</v>
      </c>
      <c r="F14" s="219">
        <f t="shared" ref="F14:F22" si="1">((E14 - D14) * 24)</f>
        <v>1.5</v>
      </c>
      <c r="G14" s="216">
        <f t="shared" ref="G14:G21" si="2">IF(F14 &gt; 4, (F14 - 1), F14)</f>
        <v>1.5</v>
      </c>
      <c r="H14" s="179" t="s">
        <v>4</v>
      </c>
      <c r="I14" s="196" t="s">
        <v>20</v>
      </c>
      <c r="J14" s="204" t="s">
        <v>43</v>
      </c>
      <c r="K14" s="192" t="str">
        <f t="shared" ref="K14:K37" ca="1" si="3">IF(C14 = "TBD", "TBD", IF(B14 = "", "IDK!!", IF(TODAY() &gt; B14, "Passed", IF(TODAY() = B14, "Today!!", "Upcoming"))))</f>
        <v>Passed</v>
      </c>
    </row>
    <row r="15" spans="2:11">
      <c r="B15" s="102">
        <v>45783</v>
      </c>
      <c r="C15" s="165" t="str">
        <f t="shared" si="0"/>
        <v>Tue</v>
      </c>
      <c r="D15" s="157">
        <v>0.29166666666666669</v>
      </c>
      <c r="E15" s="157">
        <v>0.66666666666666663</v>
      </c>
      <c r="F15" s="220">
        <f t="shared" si="1"/>
        <v>8.9999999999999982</v>
      </c>
      <c r="G15" s="217">
        <f t="shared" si="2"/>
        <v>7.9999999999999982</v>
      </c>
      <c r="H15" s="180" t="s">
        <v>32</v>
      </c>
      <c r="I15" s="197" t="s">
        <v>20</v>
      </c>
      <c r="J15" s="205" t="s">
        <v>32</v>
      </c>
      <c r="K15" s="59" t="str">
        <f t="shared" ca="1" si="3"/>
        <v>Passed</v>
      </c>
    </row>
    <row r="16" spans="2:11">
      <c r="B16" s="140">
        <v>45797</v>
      </c>
      <c r="C16" s="166" t="str">
        <f t="shared" si="0"/>
        <v>Tue</v>
      </c>
      <c r="D16" s="158">
        <v>0.45833333333333331</v>
      </c>
      <c r="E16" s="158">
        <v>0.66666666666666663</v>
      </c>
      <c r="F16" s="221">
        <f t="shared" si="1"/>
        <v>5</v>
      </c>
      <c r="G16" s="166">
        <f t="shared" si="2"/>
        <v>4</v>
      </c>
      <c r="H16" s="181" t="s">
        <v>32</v>
      </c>
      <c r="I16" s="198" t="s">
        <v>20</v>
      </c>
      <c r="J16" s="206" t="s">
        <v>44</v>
      </c>
      <c r="K16" s="193" t="str">
        <f t="shared" ca="1" si="3"/>
        <v>Passed</v>
      </c>
    </row>
    <row r="17" spans="2:11" ht="15.75" thickBot="1">
      <c r="B17" s="137">
        <v>45800</v>
      </c>
      <c r="C17" s="167" t="str">
        <f t="shared" si="0"/>
        <v>Fri</v>
      </c>
      <c r="D17" s="158">
        <v>0.45833333333333331</v>
      </c>
      <c r="E17" s="158">
        <v>0.66666666666666663</v>
      </c>
      <c r="F17" s="221">
        <f t="shared" si="1"/>
        <v>5</v>
      </c>
      <c r="G17" s="166">
        <f t="shared" si="2"/>
        <v>4</v>
      </c>
      <c r="H17" s="182" t="s">
        <v>4</v>
      </c>
      <c r="I17" s="199" t="s">
        <v>20</v>
      </c>
      <c r="J17" s="207" t="s">
        <v>42</v>
      </c>
      <c r="K17" s="67" t="str">
        <f t="shared" ca="1" si="3"/>
        <v>Passed</v>
      </c>
    </row>
    <row r="18" spans="2:11" ht="15.75" thickBot="1">
      <c r="B18" s="148">
        <v>45827</v>
      </c>
      <c r="C18" s="168" t="str">
        <f t="shared" si="0"/>
        <v>Thu</v>
      </c>
      <c r="D18" s="159">
        <v>0.29166666666666669</v>
      </c>
      <c r="E18" s="159">
        <v>0.66666666666666663</v>
      </c>
      <c r="F18" s="222">
        <f t="shared" si="1"/>
        <v>8.9999999999999982</v>
      </c>
      <c r="G18" s="168">
        <f t="shared" si="2"/>
        <v>7.9999999999999982</v>
      </c>
      <c r="H18" s="183" t="s">
        <v>10</v>
      </c>
      <c r="I18" s="200" t="s">
        <v>20</v>
      </c>
      <c r="J18" s="208" t="s">
        <v>45</v>
      </c>
      <c r="K18" s="192" t="str">
        <f t="shared" ca="1" si="3"/>
        <v>Passed</v>
      </c>
    </row>
    <row r="19" spans="2:11" ht="15.75" thickBot="1">
      <c r="B19" s="143">
        <v>45849</v>
      </c>
      <c r="C19" s="169" t="str">
        <f t="shared" si="0"/>
        <v>Fri</v>
      </c>
      <c r="D19" s="155">
        <v>0.29166666666666669</v>
      </c>
      <c r="E19" s="155">
        <v>0.66666666666666663</v>
      </c>
      <c r="F19" s="223">
        <f t="shared" si="1"/>
        <v>8.9999999999999982</v>
      </c>
      <c r="G19" s="169">
        <f t="shared" si="2"/>
        <v>7.9999999999999982</v>
      </c>
      <c r="H19" s="184" t="s">
        <v>4</v>
      </c>
      <c r="I19" s="201" t="s">
        <v>20</v>
      </c>
      <c r="J19" s="209" t="s">
        <v>46</v>
      </c>
      <c r="K19" s="194" t="str">
        <f t="shared" ca="1" si="3"/>
        <v>Passed</v>
      </c>
    </row>
    <row r="20" spans="2:11">
      <c r="B20" s="105">
        <v>45873</v>
      </c>
      <c r="C20" s="170" t="str">
        <f t="shared" si="0"/>
        <v>Mon</v>
      </c>
      <c r="D20" s="160">
        <v>0.54166666666666663</v>
      </c>
      <c r="E20" s="160">
        <v>0.66666666666666663</v>
      </c>
      <c r="F20" s="224">
        <f t="shared" si="1"/>
        <v>3</v>
      </c>
      <c r="G20" s="170">
        <f t="shared" si="2"/>
        <v>3</v>
      </c>
      <c r="H20" s="185" t="s">
        <v>4</v>
      </c>
      <c r="I20" s="196" t="s">
        <v>20</v>
      </c>
      <c r="J20" s="210" t="s">
        <v>40</v>
      </c>
      <c r="K20" s="59" t="str">
        <f t="shared" ca="1" si="3"/>
        <v>Passed</v>
      </c>
    </row>
    <row r="21" spans="2:11">
      <c r="B21" s="106">
        <v>45874</v>
      </c>
      <c r="C21" s="171" t="str">
        <f t="shared" si="0"/>
        <v>Tue</v>
      </c>
      <c r="D21" s="161">
        <v>0.54166666666666663</v>
      </c>
      <c r="E21" s="161">
        <v>0.66666666666666663</v>
      </c>
      <c r="F21" s="225">
        <f t="shared" si="1"/>
        <v>3</v>
      </c>
      <c r="G21" s="171">
        <f t="shared" si="2"/>
        <v>3</v>
      </c>
      <c r="H21" s="186" t="s">
        <v>4</v>
      </c>
      <c r="I21" s="198" t="s">
        <v>20</v>
      </c>
      <c r="J21" s="211" t="s">
        <v>40</v>
      </c>
      <c r="K21" s="193" t="str">
        <f t="shared" ca="1" si="3"/>
        <v>Passed</v>
      </c>
    </row>
    <row r="22" spans="2:11">
      <c r="B22" s="106">
        <v>45875</v>
      </c>
      <c r="C22" s="171" t="str">
        <f t="shared" si="0"/>
        <v>Wed</v>
      </c>
      <c r="D22" s="161">
        <v>0.54166666666666663</v>
      </c>
      <c r="E22" s="161">
        <v>0.66666666666666663</v>
      </c>
      <c r="F22" s="225">
        <f t="shared" si="1"/>
        <v>3</v>
      </c>
      <c r="G22" s="171">
        <f t="shared" ref="G22:G34" si="4">IF(F22 &gt; 4, (F22 - 1), F22)</f>
        <v>3</v>
      </c>
      <c r="H22" s="186" t="s">
        <v>4</v>
      </c>
      <c r="I22" s="198" t="s">
        <v>20</v>
      </c>
      <c r="J22" s="211" t="s">
        <v>40</v>
      </c>
      <c r="K22" s="193" t="str">
        <f t="shared" ca="1" si="3"/>
        <v>Passed</v>
      </c>
    </row>
    <row r="23" spans="2:11">
      <c r="B23" s="106">
        <v>45876</v>
      </c>
      <c r="C23" s="171" t="str">
        <f t="shared" si="0"/>
        <v>Thu</v>
      </c>
      <c r="D23" s="161">
        <v>0.5</v>
      </c>
      <c r="E23" s="161">
        <v>0.66666666666666663</v>
      </c>
      <c r="F23" s="225">
        <f t="shared" ref="F23:F34" si="5">((E23 - D23) * 24)</f>
        <v>3.9999999999999991</v>
      </c>
      <c r="G23" s="171">
        <f t="shared" si="4"/>
        <v>3.9999999999999991</v>
      </c>
      <c r="H23" s="186" t="s">
        <v>4</v>
      </c>
      <c r="I23" s="198" t="s">
        <v>20</v>
      </c>
      <c r="J23" s="211" t="s">
        <v>40</v>
      </c>
      <c r="K23" s="193" t="str">
        <f t="shared" ca="1" si="3"/>
        <v>Passed</v>
      </c>
    </row>
    <row r="24" spans="2:11">
      <c r="B24" s="106">
        <v>45877</v>
      </c>
      <c r="C24" s="171" t="str">
        <f t="shared" si="0"/>
        <v>Fri</v>
      </c>
      <c r="D24" s="161">
        <v>0.54166666666666663</v>
      </c>
      <c r="E24" s="161">
        <v>0.66666666666666663</v>
      </c>
      <c r="F24" s="225">
        <f t="shared" si="5"/>
        <v>3</v>
      </c>
      <c r="G24" s="171">
        <f t="shared" si="4"/>
        <v>3</v>
      </c>
      <c r="H24" s="186" t="s">
        <v>4</v>
      </c>
      <c r="I24" s="198" t="s">
        <v>20</v>
      </c>
      <c r="J24" s="211" t="s">
        <v>40</v>
      </c>
      <c r="K24" s="193" t="str">
        <f t="shared" ca="1" si="3"/>
        <v>Passed</v>
      </c>
    </row>
    <row r="25" spans="2:11">
      <c r="B25" s="106">
        <v>45880</v>
      </c>
      <c r="C25" s="171" t="str">
        <f t="shared" si="0"/>
        <v>Mon</v>
      </c>
      <c r="D25" s="161">
        <v>0.54166666666666663</v>
      </c>
      <c r="E25" s="161">
        <v>0.66666666666666663</v>
      </c>
      <c r="F25" s="225">
        <f t="shared" si="5"/>
        <v>3</v>
      </c>
      <c r="G25" s="171">
        <f t="shared" si="4"/>
        <v>3</v>
      </c>
      <c r="H25" s="186" t="s">
        <v>4</v>
      </c>
      <c r="I25" s="198" t="s">
        <v>20</v>
      </c>
      <c r="J25" s="211" t="s">
        <v>30</v>
      </c>
      <c r="K25" s="193" t="str">
        <f t="shared" ca="1" si="3"/>
        <v>Passed</v>
      </c>
    </row>
    <row r="26" spans="2:11">
      <c r="B26" s="106">
        <v>45880</v>
      </c>
      <c r="C26" s="171" t="str">
        <f t="shared" si="0"/>
        <v>Mon</v>
      </c>
      <c r="D26" s="161">
        <v>0.60416666666666663</v>
      </c>
      <c r="E26" s="161">
        <v>0.66666666666666663</v>
      </c>
      <c r="F26" s="225">
        <f t="shared" si="5"/>
        <v>1.5</v>
      </c>
      <c r="G26" s="171">
        <f t="shared" si="4"/>
        <v>1.5</v>
      </c>
      <c r="H26" s="186" t="s">
        <v>4</v>
      </c>
      <c r="I26" s="198" t="s">
        <v>20</v>
      </c>
      <c r="J26" s="211" t="s">
        <v>39</v>
      </c>
      <c r="K26" s="193" t="str">
        <f t="shared" ca="1" si="3"/>
        <v>Passed</v>
      </c>
    </row>
    <row r="27" spans="2:11">
      <c r="B27" s="106">
        <v>45881</v>
      </c>
      <c r="C27" s="171" t="str">
        <f t="shared" si="0"/>
        <v>Tue</v>
      </c>
      <c r="D27" s="161">
        <v>0.54166666666666663</v>
      </c>
      <c r="E27" s="161">
        <v>0.66666666666666663</v>
      </c>
      <c r="F27" s="225">
        <f t="shared" si="5"/>
        <v>3</v>
      </c>
      <c r="G27" s="171">
        <f t="shared" si="4"/>
        <v>3</v>
      </c>
      <c r="H27" s="186" t="s">
        <v>4</v>
      </c>
      <c r="I27" s="198" t="s">
        <v>20</v>
      </c>
      <c r="J27" s="211" t="s">
        <v>39</v>
      </c>
      <c r="K27" s="193" t="str">
        <f t="shared" ca="1" si="3"/>
        <v>Passed</v>
      </c>
    </row>
    <row r="28" spans="2:11">
      <c r="B28" s="106">
        <v>45882</v>
      </c>
      <c r="C28" s="171" t="str">
        <f t="shared" si="0"/>
        <v>Wed</v>
      </c>
      <c r="D28" s="161">
        <v>0.54166666666666663</v>
      </c>
      <c r="E28" s="161">
        <v>0.66666666666666663</v>
      </c>
      <c r="F28" s="225">
        <f t="shared" si="5"/>
        <v>3</v>
      </c>
      <c r="G28" s="171">
        <f t="shared" si="4"/>
        <v>3</v>
      </c>
      <c r="H28" s="186" t="s">
        <v>4</v>
      </c>
      <c r="I28" s="198" t="s">
        <v>20</v>
      </c>
      <c r="J28" s="211" t="s">
        <v>39</v>
      </c>
      <c r="K28" s="193" t="str">
        <f t="shared" ca="1" si="3"/>
        <v>Passed</v>
      </c>
    </row>
    <row r="29" spans="2:11">
      <c r="B29" s="106">
        <v>45883</v>
      </c>
      <c r="C29" s="171" t="str">
        <f t="shared" si="0"/>
        <v>Thu</v>
      </c>
      <c r="D29" s="161">
        <v>0.54166666666666663</v>
      </c>
      <c r="E29" s="161">
        <v>0.66666666666666663</v>
      </c>
      <c r="F29" s="225">
        <f t="shared" si="5"/>
        <v>3</v>
      </c>
      <c r="G29" s="171">
        <f t="shared" si="4"/>
        <v>3</v>
      </c>
      <c r="H29" s="186" t="s">
        <v>4</v>
      </c>
      <c r="I29" s="198" t="s">
        <v>20</v>
      </c>
      <c r="J29" s="211" t="s">
        <v>39</v>
      </c>
      <c r="K29" s="193" t="str">
        <f t="shared" ca="1" si="3"/>
        <v>Passed</v>
      </c>
    </row>
    <row r="30" spans="2:11">
      <c r="B30" s="107">
        <v>45884</v>
      </c>
      <c r="C30" s="172" t="str">
        <f t="shared" si="0"/>
        <v>Fri</v>
      </c>
      <c r="D30" s="161">
        <v>0.54166666666666663</v>
      </c>
      <c r="E30" s="161">
        <v>0.66666666666666663</v>
      </c>
      <c r="F30" s="225">
        <f t="shared" si="5"/>
        <v>3</v>
      </c>
      <c r="G30" s="171">
        <f t="shared" si="4"/>
        <v>3</v>
      </c>
      <c r="H30" s="187" t="s">
        <v>4</v>
      </c>
      <c r="I30" s="198" t="s">
        <v>20</v>
      </c>
      <c r="J30" s="212" t="s">
        <v>39</v>
      </c>
      <c r="K30" s="193" t="str">
        <f t="shared" ca="1" si="3"/>
        <v>Passed</v>
      </c>
    </row>
    <row r="31" spans="2:11">
      <c r="B31" s="107">
        <v>45884</v>
      </c>
      <c r="C31" s="172" t="str">
        <f t="shared" si="0"/>
        <v>Fri</v>
      </c>
      <c r="D31" s="161">
        <v>0.5</v>
      </c>
      <c r="E31" s="161">
        <v>0.66666666666666663</v>
      </c>
      <c r="F31" s="225">
        <f t="shared" si="5"/>
        <v>3.9999999999999991</v>
      </c>
      <c r="G31" s="171">
        <f t="shared" si="4"/>
        <v>3.9999999999999991</v>
      </c>
      <c r="H31" s="187" t="s">
        <v>10</v>
      </c>
      <c r="I31" s="198" t="s">
        <v>20</v>
      </c>
      <c r="J31" s="212" t="s">
        <v>62</v>
      </c>
      <c r="K31" s="193" t="str">
        <f t="shared" ca="1" si="3"/>
        <v>Passed</v>
      </c>
    </row>
    <row r="32" spans="2:11">
      <c r="B32" s="107">
        <v>45884</v>
      </c>
      <c r="C32" s="172" t="str">
        <f t="shared" si="0"/>
        <v>Fri</v>
      </c>
      <c r="D32" s="161">
        <v>0.29166666666666669</v>
      </c>
      <c r="E32" s="161">
        <v>0.33333333333333331</v>
      </c>
      <c r="F32" s="225">
        <f t="shared" si="5"/>
        <v>0.99999999999999911</v>
      </c>
      <c r="G32" s="171">
        <f t="shared" si="4"/>
        <v>0.99999999999999911</v>
      </c>
      <c r="H32" s="187" t="s">
        <v>32</v>
      </c>
      <c r="I32" s="198" t="s">
        <v>20</v>
      </c>
      <c r="J32" s="212" t="s">
        <v>62</v>
      </c>
      <c r="K32" s="193" t="str">
        <f t="shared" ca="1" si="3"/>
        <v>Passed</v>
      </c>
    </row>
    <row r="33" spans="2:11">
      <c r="B33" s="107">
        <v>45889</v>
      </c>
      <c r="C33" s="172" t="str">
        <f t="shared" si="0"/>
        <v>Wed</v>
      </c>
      <c r="D33" s="161">
        <v>0.5</v>
      </c>
      <c r="E33" s="161">
        <v>0.66666666666666663</v>
      </c>
      <c r="F33" s="225">
        <f t="shared" si="5"/>
        <v>3.9999999999999991</v>
      </c>
      <c r="G33" s="171">
        <f t="shared" si="4"/>
        <v>3.9999999999999991</v>
      </c>
      <c r="H33" s="187" t="s">
        <v>10</v>
      </c>
      <c r="I33" s="198" t="s">
        <v>20</v>
      </c>
      <c r="J33" s="212" t="s">
        <v>27</v>
      </c>
      <c r="K33" s="193" t="str">
        <f t="shared" ca="1" si="3"/>
        <v>Passed</v>
      </c>
    </row>
    <row r="34" spans="2:11" ht="15.75" thickBot="1">
      <c r="B34" s="107">
        <v>45898</v>
      </c>
      <c r="C34" s="172" t="str">
        <f t="shared" si="0"/>
        <v>Fri</v>
      </c>
      <c r="D34" s="162">
        <v>0.5</v>
      </c>
      <c r="E34" s="162">
        <v>0.66666666666666663</v>
      </c>
      <c r="F34" s="225">
        <f t="shared" si="5"/>
        <v>3.9999999999999991</v>
      </c>
      <c r="G34" s="171">
        <f t="shared" si="4"/>
        <v>3.9999999999999991</v>
      </c>
      <c r="H34" s="187" t="s">
        <v>4</v>
      </c>
      <c r="I34" s="202" t="s">
        <v>20</v>
      </c>
      <c r="J34" s="212" t="s">
        <v>24</v>
      </c>
      <c r="K34" s="67" t="str">
        <f t="shared" ca="1" si="3"/>
        <v>Passed</v>
      </c>
    </row>
    <row r="35" spans="2:11" ht="15.75" thickBot="1">
      <c r="B35" s="148">
        <v>45908</v>
      </c>
      <c r="C35" s="168" t="str">
        <f t="shared" si="0"/>
        <v>Mon</v>
      </c>
      <c r="D35" s="159">
        <v>0.29166666666666669</v>
      </c>
      <c r="E35" s="159">
        <v>0.66666666666666663</v>
      </c>
      <c r="F35" s="222">
        <f>((E35 - D35) * 24)</f>
        <v>8.9999999999999982</v>
      </c>
      <c r="G35" s="168">
        <f>IF(F35 &gt; 4, (F35 - 1), F35)</f>
        <v>7.9999999999999982</v>
      </c>
      <c r="H35" s="183" t="s">
        <v>4</v>
      </c>
      <c r="I35" s="200" t="s">
        <v>20</v>
      </c>
      <c r="J35" s="208" t="s">
        <v>55</v>
      </c>
      <c r="K35" s="192" t="str">
        <f t="shared" ca="1" si="3"/>
        <v>Passed</v>
      </c>
    </row>
    <row r="36" spans="2:11">
      <c r="B36" s="229">
        <v>45933</v>
      </c>
      <c r="C36" s="230" t="str">
        <f t="shared" si="0"/>
        <v>Fri</v>
      </c>
      <c r="D36" s="231">
        <v>0.29166666666666669</v>
      </c>
      <c r="E36" s="231">
        <v>0.66666666666666663</v>
      </c>
      <c r="F36" s="232">
        <f t="shared" ref="F36:F37" si="6">((E36 - D36) * 24)</f>
        <v>8.9999999999999982</v>
      </c>
      <c r="G36" s="230">
        <f t="shared" ref="G36:G37" si="7">IF(F36 &gt; 4, (F36 - 1), F36)</f>
        <v>7.9999999999999982</v>
      </c>
      <c r="H36" s="233" t="s">
        <v>4</v>
      </c>
      <c r="I36" s="265" t="s">
        <v>20</v>
      </c>
      <c r="J36" s="209" t="s">
        <v>58</v>
      </c>
      <c r="K36" s="59" t="str">
        <f t="shared" ca="1" si="3"/>
        <v>Passed</v>
      </c>
    </row>
    <row r="37" spans="2:11" ht="15.75" thickBot="1">
      <c r="B37" s="282">
        <v>45936</v>
      </c>
      <c r="C37" s="283" t="str">
        <f t="shared" si="0"/>
        <v>Mon</v>
      </c>
      <c r="D37" s="284">
        <v>0.29166666666666669</v>
      </c>
      <c r="E37" s="284">
        <v>0.66666666666666663</v>
      </c>
      <c r="F37" s="285">
        <f t="shared" si="6"/>
        <v>8.9999999999999982</v>
      </c>
      <c r="G37" s="283">
        <f t="shared" si="7"/>
        <v>7.9999999999999982</v>
      </c>
      <c r="H37" s="286" t="s">
        <v>32</v>
      </c>
      <c r="I37" s="287" t="s">
        <v>20</v>
      </c>
      <c r="J37" s="288" t="s">
        <v>63</v>
      </c>
      <c r="K37" s="67" t="str">
        <f t="shared" ca="1" si="3"/>
        <v>Passed</v>
      </c>
    </row>
    <row r="38" spans="2:11" ht="15.75" thickBot="1">
      <c r="B38" s="289">
        <v>45989</v>
      </c>
      <c r="C38" s="290" t="str">
        <f t="shared" ref="C38" si="8">IF(ISNUMBER(FIND("?", B38, 1)), "TBD", TEXT(B38, "ddd"))</f>
        <v>Fri</v>
      </c>
      <c r="D38" s="291">
        <v>0.29166666666666669</v>
      </c>
      <c r="E38" s="291">
        <v>0.66666666666666663</v>
      </c>
      <c r="F38" s="292">
        <f>((E38 - D38) * 24)</f>
        <v>8.9999999999999982</v>
      </c>
      <c r="G38" s="290">
        <f>IF(F38 &gt; 4, (F38 - 1), F38)</f>
        <v>7.9999999999999982</v>
      </c>
      <c r="H38" s="293" t="s">
        <v>4</v>
      </c>
      <c r="I38" s="197" t="s">
        <v>20</v>
      </c>
      <c r="J38" s="294" t="s">
        <v>14</v>
      </c>
      <c r="K38" s="47" t="str">
        <f ca="1">IF(C38 = "TBD", "TBD", IF(B38 = "", "IDK!!", IF(TODAY() &gt; B38, "Passed", IF(TODAY() = B38, "Today!!", "Upcoming"))))</f>
        <v>Passed</v>
      </c>
    </row>
    <row r="39" spans="2:11">
      <c r="B39" s="295">
        <v>45999</v>
      </c>
      <c r="C39" s="296" t="str">
        <f t="shared" si="0"/>
        <v>Mon</v>
      </c>
      <c r="D39" s="297">
        <v>0.60416666666666663</v>
      </c>
      <c r="E39" s="297">
        <v>0.66666666666666663</v>
      </c>
      <c r="F39" s="298">
        <f>((E39 - D39) * 24)</f>
        <v>1.5</v>
      </c>
      <c r="G39" s="296">
        <f>IF(F39 &gt; 4, (F39 - 1), F39)</f>
        <v>1.5</v>
      </c>
      <c r="H39" s="299" t="s">
        <v>32</v>
      </c>
      <c r="I39" s="196" t="s">
        <v>20</v>
      </c>
      <c r="J39" s="300" t="s">
        <v>61</v>
      </c>
      <c r="K39" s="42" t="str">
        <f ca="1">IF(C39 = "TBD", "TBD", IF(B39 = "", "IDK!!", IF(TODAY() &gt; B39, "Passed", IF(TODAY() = B39, "Today!!", "Upcoming"))))</f>
        <v>Passed</v>
      </c>
    </row>
    <row r="40" spans="2:11">
      <c r="B40" s="234">
        <v>46006</v>
      </c>
      <c r="C40" s="235" t="str">
        <f t="shared" ref="C40" si="9">IF(ISNUMBER(FIND("?", B40, 1)), "TBD", TEXT(B40, "ddd"))</f>
        <v>Mon</v>
      </c>
      <c r="D40" s="236">
        <v>0.625</v>
      </c>
      <c r="E40" s="236">
        <v>0.66666666666666663</v>
      </c>
      <c r="F40" s="237">
        <f>((E40 - D40) * 24)</f>
        <v>0.99999999999999911</v>
      </c>
      <c r="G40" s="235">
        <f>IF(F40 &gt; 4, (F40 - 1), F40)</f>
        <v>0.99999999999999911</v>
      </c>
      <c r="H40" s="238" t="s">
        <v>32</v>
      </c>
      <c r="I40" s="199" t="s">
        <v>20</v>
      </c>
      <c r="J40" s="239" t="s">
        <v>64</v>
      </c>
      <c r="K40" s="59" t="str">
        <f t="shared" ref="K40" ca="1" si="10">IF(C40 = "TBD", "TBD", IF(B40 = "", "IDK!!", IF(TODAY() &gt; B40, "Passed", IF(TODAY() = B40, "Today!!", "Upcoming"))))</f>
        <v>Passed</v>
      </c>
    </row>
    <row r="41" spans="2:11">
      <c r="B41" s="234">
        <v>46014</v>
      </c>
      <c r="C41" s="235" t="str">
        <f t="shared" ref="C41" si="11">IF(ISNUMBER(FIND("?", B41, 1)), "TBD", TEXT(B41, "ddd"))</f>
        <v>Tue</v>
      </c>
      <c r="D41" s="236">
        <v>0.29166666666666669</v>
      </c>
      <c r="E41" s="236">
        <v>0.66666666666666663</v>
      </c>
      <c r="F41" s="237">
        <f>((E41 - D41) * 24)</f>
        <v>8.9999999999999982</v>
      </c>
      <c r="G41" s="235">
        <f>IF(F41 &gt; 4, (F41 - 1), F41)</f>
        <v>7.9999999999999982</v>
      </c>
      <c r="H41" s="238" t="s">
        <v>32</v>
      </c>
      <c r="I41" s="199" t="s">
        <v>20</v>
      </c>
      <c r="J41" s="239" t="s">
        <v>65</v>
      </c>
      <c r="K41" s="59" t="str">
        <f t="shared" ref="K41" ca="1" si="12">IF(C41 = "TBD", "TBD", IF(B41 = "", "IDK!!", IF(TODAY() &gt; B41, "Passed", IF(TODAY() = B41, "Today!!", "Upcoming"))))</f>
        <v>Passed</v>
      </c>
    </row>
    <row r="42" spans="2:11">
      <c r="B42" s="234">
        <v>46015</v>
      </c>
      <c r="C42" s="235" t="str">
        <f t="shared" si="0"/>
        <v>Wed</v>
      </c>
      <c r="D42" s="236">
        <v>0.29166666666666669</v>
      </c>
      <c r="E42" s="236">
        <v>0.66666666666666663</v>
      </c>
      <c r="F42" s="237">
        <f>((E42 - D42) * 24)</f>
        <v>8.9999999999999982</v>
      </c>
      <c r="G42" s="235">
        <f>IF(F42 &gt; 4, (F42 - 1), F42)</f>
        <v>7.9999999999999982</v>
      </c>
      <c r="H42" s="238" t="s">
        <v>4</v>
      </c>
      <c r="I42" s="199" t="s">
        <v>20</v>
      </c>
      <c r="J42" s="239" t="s">
        <v>49</v>
      </c>
      <c r="K42" s="59" t="str">
        <f t="shared" ref="K42:K47" ca="1" si="13">IF(C42 = "TBD", "TBD", IF(B42 = "", "IDK!!", IF(TODAY() &gt; B42, "Passed", IF(TODAY() = B42, "Today!!", "Upcoming"))))</f>
        <v>Passed</v>
      </c>
    </row>
    <row r="43" spans="2:11">
      <c r="B43" s="110">
        <v>46017</v>
      </c>
      <c r="C43" s="174" t="str">
        <f t="shared" si="0"/>
        <v>Fri</v>
      </c>
      <c r="D43" s="153">
        <v>0.29166666666666669</v>
      </c>
      <c r="E43" s="153">
        <v>0.66666666666666663</v>
      </c>
      <c r="F43" s="227">
        <f t="shared" ref="F43:F46" si="14">((E43 - D43) * 24)</f>
        <v>8.9999999999999982</v>
      </c>
      <c r="G43" s="174">
        <f t="shared" ref="G43:G46" si="15">IF(F43 &gt; 4, (F43 - 1), F43)</f>
        <v>7.9999999999999982</v>
      </c>
      <c r="H43" s="189" t="s">
        <v>4</v>
      </c>
      <c r="I43" s="198" t="s">
        <v>20</v>
      </c>
      <c r="J43" s="213" t="s">
        <v>49</v>
      </c>
      <c r="K43" s="193" t="str">
        <f t="shared" ca="1" si="13"/>
        <v>Passed</v>
      </c>
    </row>
    <row r="44" spans="2:11">
      <c r="B44" s="111">
        <v>46020</v>
      </c>
      <c r="C44" s="175" t="str">
        <f t="shared" si="0"/>
        <v>Mon</v>
      </c>
      <c r="D44" s="153">
        <v>0.29166666666666669</v>
      </c>
      <c r="E44" s="153">
        <v>0.66666666666666663</v>
      </c>
      <c r="F44" s="227">
        <f t="shared" si="14"/>
        <v>8.9999999999999982</v>
      </c>
      <c r="G44" s="174">
        <f t="shared" si="15"/>
        <v>7.9999999999999982</v>
      </c>
      <c r="H44" s="190" t="s">
        <v>4</v>
      </c>
      <c r="I44" s="198" t="s">
        <v>20</v>
      </c>
      <c r="J44" s="214" t="s">
        <v>49</v>
      </c>
      <c r="K44" s="193" t="str">
        <f t="shared" ca="1" si="13"/>
        <v>Passed</v>
      </c>
    </row>
    <row r="45" spans="2:11">
      <c r="B45" s="111">
        <v>46021</v>
      </c>
      <c r="C45" s="175" t="str">
        <f t="shared" si="0"/>
        <v>Tue</v>
      </c>
      <c r="D45" s="153">
        <v>0.29166666666666669</v>
      </c>
      <c r="E45" s="153">
        <v>0.66666666666666663</v>
      </c>
      <c r="F45" s="227">
        <f t="shared" si="14"/>
        <v>8.9999999999999982</v>
      </c>
      <c r="G45" s="174">
        <f t="shared" si="15"/>
        <v>7.9999999999999982</v>
      </c>
      <c r="H45" s="190" t="s">
        <v>4</v>
      </c>
      <c r="I45" s="198" t="s">
        <v>20</v>
      </c>
      <c r="J45" s="214" t="s">
        <v>49</v>
      </c>
      <c r="K45" s="193" t="str">
        <f t="shared" ca="1" si="13"/>
        <v>Passed</v>
      </c>
    </row>
    <row r="46" spans="2:11" ht="15.75" thickBot="1">
      <c r="B46" s="111">
        <v>46022</v>
      </c>
      <c r="C46" s="175" t="str">
        <f t="shared" si="0"/>
        <v>Wed</v>
      </c>
      <c r="D46" s="154">
        <v>0.29166666666666669</v>
      </c>
      <c r="E46" s="154">
        <v>0.66666666666666663</v>
      </c>
      <c r="F46" s="227">
        <f t="shared" si="14"/>
        <v>8.9999999999999982</v>
      </c>
      <c r="G46" s="174">
        <f t="shared" si="15"/>
        <v>7.9999999999999982</v>
      </c>
      <c r="H46" s="190" t="s">
        <v>4</v>
      </c>
      <c r="I46" s="202" t="s">
        <v>20</v>
      </c>
      <c r="J46" s="214" t="s">
        <v>49</v>
      </c>
      <c r="K46" s="67" t="str">
        <f t="shared" ca="1" si="13"/>
        <v>Passed</v>
      </c>
    </row>
    <row r="47" spans="2:11" ht="15.75" thickBot="1">
      <c r="B47" s="124">
        <v>46024</v>
      </c>
      <c r="C47" s="173" t="str">
        <f t="shared" si="0"/>
        <v>Fri</v>
      </c>
      <c r="D47" s="155">
        <v>0.29166666666666669</v>
      </c>
      <c r="E47" s="155">
        <v>0.66666666666666663</v>
      </c>
      <c r="F47" s="226">
        <f>((E47 - D47) * 24)</f>
        <v>8.9999999999999982</v>
      </c>
      <c r="G47" s="173">
        <f>IF(F47 &gt; 4, (F47 - 1), F47)</f>
        <v>7.9999999999999982</v>
      </c>
      <c r="H47" s="188" t="s">
        <v>4</v>
      </c>
      <c r="I47" s="200" t="s">
        <v>20</v>
      </c>
      <c r="J47" s="215" t="s">
        <v>49</v>
      </c>
      <c r="K47" s="192" t="str">
        <f t="shared" ca="1" si="13"/>
        <v>Passed</v>
      </c>
    </row>
    <row r="48" spans="2:11" ht="15.75" thickBot="1">
      <c r="B48" s="6" t="s">
        <v>11</v>
      </c>
      <c r="C48" s="176"/>
      <c r="D48" s="177"/>
      <c r="E48" s="89"/>
      <c r="F48" s="228">
        <f>SUM(F14:F47)</f>
        <v>185.5</v>
      </c>
      <c r="G48" s="8">
        <f>SUM(G14:G47)</f>
        <v>169.5</v>
      </c>
      <c r="H48" s="191"/>
      <c r="I48" s="20"/>
      <c r="J48" s="20"/>
      <c r="K48" s="20"/>
    </row>
  </sheetData>
  <autoFilter ref="B13:J48" xr:uid="{4B51B8F7-4ACE-45CA-965B-2AD2897F333A}"/>
  <conditionalFormatting sqref="B14:K47">
    <cfRule type="expression" dxfId="10" priority="1">
      <formula>$K14="Passed"</formula>
    </cfRule>
  </conditionalFormatting>
  <conditionalFormatting sqref="C14:F47 K14:K47">
    <cfRule type="cellIs" dxfId="9" priority="3" operator="equal">
      <formula>"TBD"</formula>
    </cfRule>
  </conditionalFormatting>
  <conditionalFormatting sqref="E3 E5">
    <cfRule type="cellIs" dxfId="8" priority="4" operator="greaterThan">
      <formula>0</formula>
    </cfRule>
  </conditionalFormatting>
  <conditionalFormatting sqref="E3 E5:E11">
    <cfRule type="cellIs" dxfId="7" priority="6" operator="lessThanOrEqual">
      <formula>0</formula>
    </cfRule>
  </conditionalFormatting>
  <conditionalFormatting sqref="I14:I47">
    <cfRule type="cellIs" dxfId="6" priority="5" operator="equal">
      <formula>"No"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2DC1-579B-4118-A464-8DA972BBC903}">
  <sheetPr codeName="Sheet1"/>
  <dimension ref="B1:G43"/>
  <sheetViews>
    <sheetView zoomScale="85" zoomScaleNormal="85" workbookViewId="0">
      <pane ySplit="10" topLeftCell="A11" activePane="bottomLeft" state="frozen"/>
      <selection pane="bottomLeft"/>
    </sheetView>
  </sheetViews>
  <sheetFormatPr defaultRowHeight="15"/>
  <cols>
    <col min="1" max="1" width="10.85546875" bestFit="1" customWidth="1"/>
    <col min="2" max="2" width="19.5703125" customWidth="1"/>
    <col min="3" max="3" width="9.85546875" bestFit="1" customWidth="1"/>
    <col min="4" max="4" width="11.5703125" bestFit="1" customWidth="1"/>
    <col min="5" max="5" width="18.85546875" bestFit="1" customWidth="1"/>
    <col min="6" max="6" width="23.140625" bestFit="1" customWidth="1"/>
    <col min="7" max="7" width="26.7109375" bestFit="1" customWidth="1"/>
  </cols>
  <sheetData>
    <row r="1" spans="2:7" ht="15.75" thickBot="1"/>
    <row r="2" spans="2:7" ht="18" thickBot="1">
      <c r="B2" s="16" t="s">
        <v>17</v>
      </c>
      <c r="C2" s="17" t="s">
        <v>0</v>
      </c>
      <c r="D2" s="17" t="s">
        <v>26</v>
      </c>
      <c r="E2" s="18" t="s">
        <v>12</v>
      </c>
      <c r="G2" s="56" t="str" cm="1">
        <f t="array" aca="1" ref="G2" ca="1">"PTO Reset: 02/12/" &amp; (RIGHT(CELL("filename",A1),LEN(CELL("filename",A1))-SEARCH("]",CELL("filename",A1)))) + 1</f>
        <v>PTO Reset: 02/12/2025</v>
      </c>
    </row>
    <row r="3" spans="2:7">
      <c r="B3" s="4" t="s">
        <v>6</v>
      </c>
      <c r="C3" s="3">
        <v>160</v>
      </c>
      <c r="D3" s="3">
        <f>C3-E3</f>
        <v>158</v>
      </c>
      <c r="E3" s="1">
        <f>C3 - C5 - SUMIF(D13:D42, "PTO", C13:C42)</f>
        <v>2</v>
      </c>
    </row>
    <row r="4" spans="2:7" ht="15.75" thickBot="1">
      <c r="B4" s="6" t="s">
        <v>5</v>
      </c>
      <c r="C4" s="7">
        <f>C3/8</f>
        <v>20</v>
      </c>
      <c r="D4" s="7">
        <f>D3/8</f>
        <v>19.75</v>
      </c>
      <c r="E4" s="8">
        <f>E3/8</f>
        <v>0.25</v>
      </c>
    </row>
    <row r="5" spans="2:7">
      <c r="B5" s="9" t="s">
        <v>15</v>
      </c>
      <c r="C5" s="10">
        <v>40</v>
      </c>
      <c r="D5" s="10">
        <f>C5-E5</f>
        <v>40</v>
      </c>
      <c r="E5" s="11">
        <f>C5 - SUMIF(D13:D42, "Sick", C13:C42)</f>
        <v>0</v>
      </c>
      <c r="G5" s="55"/>
    </row>
    <row r="6" spans="2:7" ht="15.75" thickBot="1">
      <c r="B6" s="12" t="s">
        <v>16</v>
      </c>
      <c r="C6" s="13">
        <f>C5/8</f>
        <v>5</v>
      </c>
      <c r="D6" s="13">
        <f>D5/8</f>
        <v>5</v>
      </c>
      <c r="E6" s="14">
        <f>E5/8</f>
        <v>0</v>
      </c>
      <c r="G6" s="36"/>
    </row>
    <row r="7" spans="2:7">
      <c r="B7" s="5" t="s">
        <v>7</v>
      </c>
      <c r="C7" s="2">
        <v>16</v>
      </c>
      <c r="D7" s="2">
        <f>C7-E7</f>
        <v>16</v>
      </c>
      <c r="E7" s="1">
        <f>C7 - SUMIF(D13:D42, "Be You", C13:C42)</f>
        <v>0</v>
      </c>
    </row>
    <row r="8" spans="2:7" ht="15.75" thickBot="1">
      <c r="B8" s="6" t="s">
        <v>8</v>
      </c>
      <c r="C8" s="7">
        <f>C7/8</f>
        <v>2</v>
      </c>
      <c r="D8" s="7">
        <f>D7/8</f>
        <v>2</v>
      </c>
      <c r="E8" s="15">
        <f>E7/8</f>
        <v>0</v>
      </c>
      <c r="G8" s="36"/>
    </row>
    <row r="9" spans="2:7">
      <c r="B9" s="127" t="s">
        <v>22</v>
      </c>
      <c r="C9" s="128">
        <v>4</v>
      </c>
      <c r="D9" s="128">
        <f>C9-E9</f>
        <v>0</v>
      </c>
      <c r="E9" s="129">
        <f>C9 - SUMIF(D13:D42, "Volunteer", C13:C42)</f>
        <v>4</v>
      </c>
      <c r="G9" s="36"/>
    </row>
    <row r="10" spans="2:7" ht="15.75" thickBot="1">
      <c r="B10" s="130" t="s">
        <v>23</v>
      </c>
      <c r="C10" s="131">
        <f>C9/8</f>
        <v>0.5</v>
      </c>
      <c r="D10" s="131">
        <f>D9/8</f>
        <v>0</v>
      </c>
      <c r="E10" s="132">
        <f>E9/8</f>
        <v>0.5</v>
      </c>
      <c r="G10" s="36"/>
    </row>
    <row r="11" spans="2:7" ht="15.75" thickBot="1"/>
    <row r="12" spans="2:7" ht="35.25" thickBot="1">
      <c r="B12" s="28" t="s">
        <v>1</v>
      </c>
      <c r="C12" s="29" t="s">
        <v>2</v>
      </c>
      <c r="D12" s="29" t="s">
        <v>9</v>
      </c>
      <c r="E12" s="30" t="s">
        <v>21</v>
      </c>
      <c r="F12" s="37" t="s">
        <v>3</v>
      </c>
      <c r="G12" s="44" t="s">
        <v>25</v>
      </c>
    </row>
    <row r="13" spans="2:7" ht="30">
      <c r="B13" s="112">
        <v>45436</v>
      </c>
      <c r="C13" s="39">
        <v>4</v>
      </c>
      <c r="D13" s="39" t="s">
        <v>4</v>
      </c>
      <c r="E13" s="40" t="s">
        <v>20</v>
      </c>
      <c r="F13" s="41" t="s">
        <v>31</v>
      </c>
      <c r="G13" s="42" t="str">
        <f t="shared" ref="G13:G39" ca="1" si="0">IF(TODAY() &gt; B13, "Passed", IF(TODAY() = B13, "Today!!", "Upcoming"))</f>
        <v>Passed</v>
      </c>
    </row>
    <row r="14" spans="2:7" ht="15.75" thickBot="1">
      <c r="B14" s="113">
        <v>45443</v>
      </c>
      <c r="C14" s="32">
        <v>8</v>
      </c>
      <c r="D14" s="32" t="s">
        <v>10</v>
      </c>
      <c r="E14" s="33" t="s">
        <v>20</v>
      </c>
      <c r="F14" s="33" t="s">
        <v>13</v>
      </c>
      <c r="G14" s="50" t="str">
        <f t="shared" ca="1" si="0"/>
        <v>Passed</v>
      </c>
    </row>
    <row r="15" spans="2:7" ht="15.75" thickBot="1">
      <c r="B15" s="114">
        <v>45499</v>
      </c>
      <c r="C15" s="45">
        <v>8</v>
      </c>
      <c r="D15" s="45" t="s">
        <v>4</v>
      </c>
      <c r="E15" s="46" t="s">
        <v>20</v>
      </c>
      <c r="F15" s="46" t="s">
        <v>29</v>
      </c>
      <c r="G15" s="47" t="str">
        <f t="shared" ca="1" si="0"/>
        <v>Passed</v>
      </c>
    </row>
    <row r="16" spans="2:7">
      <c r="B16" s="115">
        <v>45509</v>
      </c>
      <c r="C16" s="21">
        <v>4</v>
      </c>
      <c r="D16" s="21" t="s">
        <v>4</v>
      </c>
      <c r="E16" s="24" t="s">
        <v>20</v>
      </c>
      <c r="F16" s="24" t="s">
        <v>18</v>
      </c>
      <c r="G16" s="47" t="str">
        <f t="shared" ca="1" si="0"/>
        <v>Passed</v>
      </c>
    </row>
    <row r="17" spans="2:7">
      <c r="B17" s="116">
        <v>45510</v>
      </c>
      <c r="C17" s="23">
        <v>4</v>
      </c>
      <c r="D17" s="23" t="s">
        <v>4</v>
      </c>
      <c r="E17" s="25" t="s">
        <v>20</v>
      </c>
      <c r="F17" s="25" t="s">
        <v>18</v>
      </c>
      <c r="G17" s="49" t="str">
        <f t="shared" ca="1" si="0"/>
        <v>Passed</v>
      </c>
    </row>
    <row r="18" spans="2:7">
      <c r="B18" s="116">
        <v>45511</v>
      </c>
      <c r="C18" s="22">
        <v>4</v>
      </c>
      <c r="D18" s="22" t="s">
        <v>4</v>
      </c>
      <c r="E18" s="26" t="s">
        <v>20</v>
      </c>
      <c r="F18" s="26" t="s">
        <v>18</v>
      </c>
      <c r="G18" s="48" t="str">
        <f t="shared" ca="1" si="0"/>
        <v>Passed</v>
      </c>
    </row>
    <row r="19" spans="2:7">
      <c r="B19" s="116">
        <v>45512</v>
      </c>
      <c r="C19" s="22">
        <v>4</v>
      </c>
      <c r="D19" s="22" t="s">
        <v>4</v>
      </c>
      <c r="E19" s="26" t="s">
        <v>20</v>
      </c>
      <c r="F19" s="26" t="s">
        <v>18</v>
      </c>
      <c r="G19" s="48" t="str">
        <f t="shared" ca="1" si="0"/>
        <v>Passed</v>
      </c>
    </row>
    <row r="20" spans="2:7">
      <c r="B20" s="116">
        <v>45513</v>
      </c>
      <c r="C20" s="22">
        <v>4</v>
      </c>
      <c r="D20" s="22" t="s">
        <v>4</v>
      </c>
      <c r="E20" s="26" t="s">
        <v>20</v>
      </c>
      <c r="F20" s="26" t="s">
        <v>18</v>
      </c>
      <c r="G20" s="48" t="str">
        <f t="shared" ca="1" si="0"/>
        <v>Passed</v>
      </c>
    </row>
    <row r="21" spans="2:7">
      <c r="B21" s="117">
        <v>45516</v>
      </c>
      <c r="C21" s="22">
        <v>4</v>
      </c>
      <c r="D21" s="22" t="s">
        <v>4</v>
      </c>
      <c r="E21" s="26" t="s">
        <v>20</v>
      </c>
      <c r="F21" s="26" t="s">
        <v>19</v>
      </c>
      <c r="G21" s="48" t="str">
        <f t="shared" ca="1" si="0"/>
        <v>Passed</v>
      </c>
    </row>
    <row r="22" spans="2:7">
      <c r="B22" s="117">
        <v>45517</v>
      </c>
      <c r="C22" s="22">
        <v>4</v>
      </c>
      <c r="D22" s="22" t="s">
        <v>4</v>
      </c>
      <c r="E22" s="26" t="s">
        <v>20</v>
      </c>
      <c r="F22" s="26" t="s">
        <v>19</v>
      </c>
      <c r="G22" s="48" t="str">
        <f t="shared" ca="1" si="0"/>
        <v>Passed</v>
      </c>
    </row>
    <row r="23" spans="2:7">
      <c r="B23" s="117">
        <v>45518</v>
      </c>
      <c r="C23" s="22">
        <v>4</v>
      </c>
      <c r="D23" s="22" t="s">
        <v>4</v>
      </c>
      <c r="E23" s="26" t="s">
        <v>20</v>
      </c>
      <c r="F23" s="26" t="s">
        <v>19</v>
      </c>
      <c r="G23" s="48" t="str">
        <f t="shared" ca="1" si="0"/>
        <v>Passed</v>
      </c>
    </row>
    <row r="24" spans="2:7">
      <c r="B24" s="117">
        <v>45519</v>
      </c>
      <c r="C24" s="22">
        <v>4</v>
      </c>
      <c r="D24" s="22" t="s">
        <v>4</v>
      </c>
      <c r="E24" s="26" t="s">
        <v>20</v>
      </c>
      <c r="F24" s="26" t="s">
        <v>19</v>
      </c>
      <c r="G24" s="48" t="str">
        <f t="shared" ca="1" si="0"/>
        <v>Passed</v>
      </c>
    </row>
    <row r="25" spans="2:7">
      <c r="B25" s="118">
        <v>45520</v>
      </c>
      <c r="C25" s="34">
        <v>4</v>
      </c>
      <c r="D25" s="34" t="s">
        <v>4</v>
      </c>
      <c r="E25" s="35" t="s">
        <v>20</v>
      </c>
      <c r="F25" s="35" t="s">
        <v>19</v>
      </c>
      <c r="G25" s="48" t="str">
        <f t="shared" ca="1" si="0"/>
        <v>Passed</v>
      </c>
    </row>
    <row r="26" spans="2:7">
      <c r="B26" s="116">
        <v>45525</v>
      </c>
      <c r="C26" s="23">
        <v>4</v>
      </c>
      <c r="D26" s="23" t="s">
        <v>4</v>
      </c>
      <c r="E26" s="25" t="s">
        <v>20</v>
      </c>
      <c r="F26" s="25" t="s">
        <v>27</v>
      </c>
      <c r="G26" s="48" t="str">
        <f t="shared" ca="1" si="0"/>
        <v>Passed</v>
      </c>
    </row>
    <row r="27" spans="2:7">
      <c r="B27" s="116">
        <v>45530</v>
      </c>
      <c r="C27" s="23">
        <v>1</v>
      </c>
      <c r="D27" s="23" t="s">
        <v>4</v>
      </c>
      <c r="E27" s="25" t="s">
        <v>20</v>
      </c>
      <c r="F27" s="25" t="s">
        <v>30</v>
      </c>
      <c r="G27" s="48" t="str">
        <f t="shared" ca="1" si="0"/>
        <v>Passed</v>
      </c>
    </row>
    <row r="28" spans="2:7" ht="15.75" thickBot="1">
      <c r="B28" s="119">
        <v>45534</v>
      </c>
      <c r="C28" s="52">
        <v>4</v>
      </c>
      <c r="D28" s="52" t="s">
        <v>4</v>
      </c>
      <c r="E28" s="53" t="s">
        <v>20</v>
      </c>
      <c r="F28" s="53" t="s">
        <v>24</v>
      </c>
      <c r="G28" s="54" t="str">
        <f t="shared" ca="1" si="0"/>
        <v>Passed</v>
      </c>
    </row>
    <row r="29" spans="2:7">
      <c r="B29" s="112">
        <v>45567</v>
      </c>
      <c r="C29" s="39">
        <v>8</v>
      </c>
      <c r="D29" s="39" t="s">
        <v>4</v>
      </c>
      <c r="E29" s="40" t="s">
        <v>20</v>
      </c>
      <c r="F29" s="40" t="s">
        <v>36</v>
      </c>
      <c r="G29" s="42" t="str">
        <f t="shared" ca="1" si="0"/>
        <v>Passed</v>
      </c>
    </row>
    <row r="30" spans="2:7">
      <c r="B30" s="120">
        <v>45573</v>
      </c>
      <c r="C30" s="57">
        <v>8</v>
      </c>
      <c r="D30" s="57" t="s">
        <v>4</v>
      </c>
      <c r="E30" s="58" t="s">
        <v>20</v>
      </c>
      <c r="F30" s="58" t="s">
        <v>36</v>
      </c>
      <c r="G30" s="59" t="str">
        <f t="shared" ca="1" si="0"/>
        <v>Passed</v>
      </c>
    </row>
    <row r="31" spans="2:7">
      <c r="B31" s="121">
        <v>45579</v>
      </c>
      <c r="C31" s="65">
        <v>5</v>
      </c>
      <c r="D31" s="65" t="s">
        <v>4</v>
      </c>
      <c r="E31" s="66" t="s">
        <v>20</v>
      </c>
      <c r="F31" s="66" t="s">
        <v>37</v>
      </c>
      <c r="G31" s="67" t="str">
        <f t="shared" ca="1" si="0"/>
        <v>Passed</v>
      </c>
    </row>
    <row r="32" spans="2:7" ht="15.75" thickBot="1">
      <c r="B32" s="113">
        <v>45580</v>
      </c>
      <c r="C32" s="32">
        <v>8</v>
      </c>
      <c r="D32" s="32" t="s">
        <v>4</v>
      </c>
      <c r="E32" s="33" t="s">
        <v>20</v>
      </c>
      <c r="F32" s="33" t="s">
        <v>35</v>
      </c>
      <c r="G32" s="60" t="str">
        <f t="shared" ca="1" si="0"/>
        <v>Passed</v>
      </c>
    </row>
    <row r="33" spans="2:7">
      <c r="B33" s="103">
        <v>45597</v>
      </c>
      <c r="C33" s="63">
        <v>4</v>
      </c>
      <c r="D33" s="63" t="s">
        <v>4</v>
      </c>
      <c r="E33" s="64" t="s">
        <v>20</v>
      </c>
      <c r="F33" s="64" t="s">
        <v>34</v>
      </c>
      <c r="G33" s="42" t="str">
        <f t="shared" ca="1" si="0"/>
        <v>Passed</v>
      </c>
    </row>
    <row r="34" spans="2:7" ht="15.75" thickBot="1">
      <c r="B34" s="104">
        <v>45625</v>
      </c>
      <c r="C34" s="61">
        <v>8</v>
      </c>
      <c r="D34" s="61" t="s">
        <v>10</v>
      </c>
      <c r="E34" s="62" t="s">
        <v>20</v>
      </c>
      <c r="F34" s="62" t="s">
        <v>14</v>
      </c>
      <c r="G34" s="60" t="str">
        <f t="shared" ca="1" si="0"/>
        <v>Passed</v>
      </c>
    </row>
    <row r="35" spans="2:7">
      <c r="B35" s="122">
        <v>45653</v>
      </c>
      <c r="C35" s="68">
        <v>8</v>
      </c>
      <c r="D35" s="68" t="s">
        <v>32</v>
      </c>
      <c r="E35" s="69" t="s">
        <v>20</v>
      </c>
      <c r="F35" s="69" t="s">
        <v>41</v>
      </c>
      <c r="G35" s="72" t="str">
        <f t="shared" ca="1" si="0"/>
        <v>Passed</v>
      </c>
    </row>
    <row r="36" spans="2:7">
      <c r="B36" s="123">
        <v>45656</v>
      </c>
      <c r="C36" s="70">
        <v>8</v>
      </c>
      <c r="D36" s="70" t="s">
        <v>32</v>
      </c>
      <c r="E36" s="71" t="s">
        <v>20</v>
      </c>
      <c r="F36" s="71" t="s">
        <v>41</v>
      </c>
      <c r="G36" s="73" t="str">
        <f t="shared" ca="1" si="0"/>
        <v>Passed</v>
      </c>
    </row>
    <row r="37" spans="2:7">
      <c r="B37" s="123">
        <v>45657</v>
      </c>
      <c r="C37" s="70">
        <v>8</v>
      </c>
      <c r="D37" s="70" t="s">
        <v>32</v>
      </c>
      <c r="E37" s="71" t="s">
        <v>20</v>
      </c>
      <c r="F37" s="71" t="s">
        <v>41</v>
      </c>
      <c r="G37" s="73" t="str">
        <f t="shared" ca="1" si="0"/>
        <v>Passed</v>
      </c>
    </row>
    <row r="38" spans="2:7">
      <c r="B38" s="123">
        <v>45659</v>
      </c>
      <c r="C38" s="70">
        <v>8</v>
      </c>
      <c r="D38" s="70" t="s">
        <v>32</v>
      </c>
      <c r="E38" s="71" t="s">
        <v>20</v>
      </c>
      <c r="F38" s="71" t="s">
        <v>41</v>
      </c>
      <c r="G38" s="73" t="str">
        <f t="shared" ca="1" si="0"/>
        <v>Passed</v>
      </c>
    </row>
    <row r="39" spans="2:7">
      <c r="B39" s="123">
        <v>45660</v>
      </c>
      <c r="C39" s="70">
        <v>8</v>
      </c>
      <c r="D39" s="70" t="s">
        <v>32</v>
      </c>
      <c r="E39" s="71" t="s">
        <v>20</v>
      </c>
      <c r="F39" s="71" t="s">
        <v>41</v>
      </c>
      <c r="G39" s="73" t="str">
        <f t="shared" ca="1" si="0"/>
        <v>Passed</v>
      </c>
    </row>
    <row r="40" spans="2:7">
      <c r="B40" s="123">
        <v>45663</v>
      </c>
      <c r="C40" s="70">
        <v>8</v>
      </c>
      <c r="D40" s="70" t="s">
        <v>4</v>
      </c>
      <c r="E40" s="71" t="s">
        <v>20</v>
      </c>
      <c r="F40" s="71" t="s">
        <v>41</v>
      </c>
      <c r="G40" s="73" t="str">
        <f ca="1">IF(TODAY() &gt; B40, "Passed", IF(TODAY() = B40, "Today!!", "Upcoming"))</f>
        <v>Passed</v>
      </c>
    </row>
    <row r="41" spans="2:7">
      <c r="B41" s="123">
        <v>45664</v>
      </c>
      <c r="C41" s="70">
        <v>8</v>
      </c>
      <c r="D41" s="70" t="s">
        <v>4</v>
      </c>
      <c r="E41" s="71" t="s">
        <v>20</v>
      </c>
      <c r="F41" s="71" t="s">
        <v>41</v>
      </c>
      <c r="G41" s="73" t="str">
        <f ca="1">IF(TODAY() &gt; B41, "Passed", IF(TODAY() = B41, "Today!!", "Upcoming"))</f>
        <v>Passed</v>
      </c>
    </row>
    <row r="42" spans="2:7" ht="15.75" thickBot="1">
      <c r="B42" s="114">
        <v>45665</v>
      </c>
      <c r="C42" s="45">
        <v>8</v>
      </c>
      <c r="D42" s="45" t="s">
        <v>4</v>
      </c>
      <c r="E42" s="46" t="s">
        <v>20</v>
      </c>
      <c r="F42" s="46" t="s">
        <v>41</v>
      </c>
      <c r="G42" s="85" t="str">
        <f ca="1">IF(TODAY() &gt; B42, "Passed", IF(TODAY() = B42, "Today!!", "Upcoming"))</f>
        <v>Passed</v>
      </c>
    </row>
    <row r="43" spans="2:7" ht="15.75" thickBot="1">
      <c r="B43" s="86" t="s">
        <v>11</v>
      </c>
      <c r="C43" s="87">
        <f>SUM(C13:C42)</f>
        <v>174</v>
      </c>
      <c r="D43" s="88"/>
      <c r="E43" s="89"/>
      <c r="F43" s="89"/>
      <c r="G43" s="90"/>
    </row>
  </sheetData>
  <autoFilter ref="B12:G43" xr:uid="{25002DC1-579B-4118-A464-8DA972BBC903}"/>
  <conditionalFormatting sqref="E3:E4">
    <cfRule type="cellIs" dxfId="5" priority="13" operator="greaterThan">
      <formula>0</formula>
    </cfRule>
  </conditionalFormatting>
  <conditionalFormatting sqref="E3:E10">
    <cfRule type="cellIs" dxfId="4" priority="15" operator="lessThanOrEqual">
      <formula>0</formula>
    </cfRule>
  </conditionalFormatting>
  <conditionalFormatting sqref="E13:E42">
    <cfRule type="cellIs" dxfId="3" priority="1" operator="equal">
      <formula>"No"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Nope!" error="Uh, oh... looks like you've provide an invalid input. Shame on you and your dog." xr:uid="{D8F0CFBC-8354-4D2C-B6BC-37D8763F407D}">
          <x14:formula1>
            <xm:f>Template!$B$19:$B$22</xm:f>
          </x14:formula1>
          <xm:sqref>D13:D32 D34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74E6-E2F4-497A-863D-7746D04C8BB1}">
  <sheetPr codeName="Sheet2"/>
  <dimension ref="B1:G22"/>
  <sheetViews>
    <sheetView zoomScale="85" zoomScaleNormal="85" workbookViewId="0">
      <pane ySplit="11" topLeftCell="A12" activePane="bottomLeft" state="frozen"/>
      <selection pane="bottomLeft"/>
    </sheetView>
  </sheetViews>
  <sheetFormatPr defaultRowHeight="15"/>
  <cols>
    <col min="2" max="2" width="23" bestFit="1" customWidth="1"/>
    <col min="3" max="3" width="9.85546875" bestFit="1" customWidth="1"/>
    <col min="4" max="4" width="11.5703125" bestFit="1" customWidth="1"/>
    <col min="5" max="5" width="18.85546875" bestFit="1" customWidth="1"/>
    <col min="6" max="6" width="21.7109375" bestFit="1" customWidth="1"/>
    <col min="7" max="7" width="26.7109375" bestFit="1" customWidth="1"/>
  </cols>
  <sheetData>
    <row r="1" spans="2:7" ht="15.75" thickBot="1"/>
    <row r="2" spans="2:7" ht="18" thickBot="1">
      <c r="B2" s="16" t="s">
        <v>17</v>
      </c>
      <c r="C2" s="17" t="s">
        <v>0</v>
      </c>
      <c r="D2" s="17" t="s">
        <v>26</v>
      </c>
      <c r="E2" s="18" t="s">
        <v>12</v>
      </c>
    </row>
    <row r="3" spans="2:7">
      <c r="B3" s="4" t="s">
        <v>6</v>
      </c>
      <c r="C3" s="3">
        <f ca="1">160+C4</f>
        <v>160</v>
      </c>
      <c r="D3" s="3">
        <f ca="1">C3-E3</f>
        <v>40</v>
      </c>
      <c r="E3" s="1">
        <f ca="1">C3 - C6 - SUMIF(D14:D15, "PTO", C14:C15)</f>
        <v>120</v>
      </c>
      <c r="G3" s="56" t="e" cm="1">
        <f t="array" aca="1" ref="G3" ca="1">"PTO Reset: 02/12/" &amp; (RIGHT(CELL("filename",A2),LEN(CELL("filename",A2))-SEARCH("]",CELL("filename",A2)))) + 1</f>
        <v>#VALUE!</v>
      </c>
    </row>
    <row r="4" spans="2:7">
      <c r="B4" s="5" t="s">
        <v>38</v>
      </c>
      <c r="C4" s="2" cm="1">
        <f t="array" aca="1" ref="C4" ca="1">IF((RIGHT(CELL("filename",A2),LEN(CELL("filename",A2))-SEARCH("]",CELL("filename",A2))))&lt;&gt;"Template", INDIRECT("'"&amp;(RIGHT(CELL("filename",A2),LEN(CELL("filename",A2))-SEARCH("]",CELL("filename",A2))))-1&amp;"'!E3"), 0)</f>
        <v>0</v>
      </c>
      <c r="D4" s="74"/>
      <c r="E4" s="75"/>
    </row>
    <row r="5" spans="2:7" ht="15.75" thickBot="1">
      <c r="B5" s="6" t="s">
        <v>5</v>
      </c>
      <c r="C5" s="7">
        <f ca="1">C3/8</f>
        <v>20</v>
      </c>
      <c r="D5" s="7">
        <f ca="1">D3/8</f>
        <v>5</v>
      </c>
      <c r="E5" s="8">
        <f ca="1">E3/8</f>
        <v>15</v>
      </c>
    </row>
    <row r="6" spans="2:7">
      <c r="B6" s="9" t="s">
        <v>15</v>
      </c>
      <c r="C6" s="10">
        <v>40</v>
      </c>
      <c r="D6" s="10">
        <f>C6-E6</f>
        <v>0</v>
      </c>
      <c r="E6" s="11">
        <f>C6 - SUMIF(D14:D15, "Sick", C14:C15)</f>
        <v>40</v>
      </c>
    </row>
    <row r="7" spans="2:7" ht="15.75" thickBot="1">
      <c r="B7" s="12" t="s">
        <v>16</v>
      </c>
      <c r="C7" s="13">
        <f>C6/8</f>
        <v>5</v>
      </c>
      <c r="D7" s="13">
        <f>D6/8</f>
        <v>0</v>
      </c>
      <c r="E7" s="14">
        <f>E6/8</f>
        <v>5</v>
      </c>
    </row>
    <row r="8" spans="2:7">
      <c r="B8" s="5" t="s">
        <v>7</v>
      </c>
      <c r="C8" s="2">
        <v>16</v>
      </c>
      <c r="D8" s="2">
        <f>C8-E8</f>
        <v>0</v>
      </c>
      <c r="E8" s="1">
        <f>C8 - SUMIF(D14:D15, "Be You", C14:C15)</f>
        <v>16</v>
      </c>
      <c r="G8" s="51"/>
    </row>
    <row r="9" spans="2:7" ht="15.75" thickBot="1">
      <c r="B9" s="6" t="s">
        <v>8</v>
      </c>
      <c r="C9" s="7">
        <f>C8/8</f>
        <v>2</v>
      </c>
      <c r="D9" s="7">
        <f>D8/8</f>
        <v>0</v>
      </c>
      <c r="E9" s="15">
        <f>E8/8</f>
        <v>2</v>
      </c>
    </row>
    <row r="10" spans="2:7">
      <c r="B10" s="127" t="s">
        <v>22</v>
      </c>
      <c r="C10" s="128">
        <v>4</v>
      </c>
      <c r="D10" s="128">
        <f>C10-E10</f>
        <v>0</v>
      </c>
      <c r="E10" s="129">
        <f>C10 - SUMIF(D14:D15, "Volunteer", C14:C15)</f>
        <v>4</v>
      </c>
      <c r="G10" s="36"/>
    </row>
    <row r="11" spans="2:7" ht="15.75" thickBot="1">
      <c r="B11" s="130" t="s">
        <v>23</v>
      </c>
      <c r="C11" s="131">
        <f>C10/8</f>
        <v>0.5</v>
      </c>
      <c r="D11" s="131">
        <f>D10/8</f>
        <v>0</v>
      </c>
      <c r="E11" s="132">
        <f>E10/8</f>
        <v>0.5</v>
      </c>
      <c r="G11" s="36"/>
    </row>
    <row r="12" spans="2:7" ht="15.75" thickBot="1"/>
    <row r="13" spans="2:7" ht="35.25" thickBot="1">
      <c r="B13" s="28" t="s">
        <v>1</v>
      </c>
      <c r="C13" s="29" t="s">
        <v>2</v>
      </c>
      <c r="D13" s="29" t="s">
        <v>9</v>
      </c>
      <c r="E13" s="30" t="s">
        <v>21</v>
      </c>
      <c r="F13" s="37" t="s">
        <v>3</v>
      </c>
      <c r="G13" s="44" t="s">
        <v>25</v>
      </c>
    </row>
    <row r="14" spans="2:7">
      <c r="B14" s="38">
        <v>45658</v>
      </c>
      <c r="C14" s="39">
        <v>0</v>
      </c>
      <c r="D14" s="39"/>
      <c r="E14" s="40" t="s">
        <v>28</v>
      </c>
      <c r="F14" s="41"/>
      <c r="G14" s="42" t="str">
        <f ca="1">IF(C14 = "TBD", "TBD", IF(B14 = "", "IDK!!", IF(TODAY() &gt; B14, "Passed", IF(TODAY() = B14, "Today!!", "Upcoming"))))</f>
        <v>Passed</v>
      </c>
    </row>
    <row r="15" spans="2:7" ht="15.75" thickBot="1">
      <c r="B15" s="31">
        <v>45658</v>
      </c>
      <c r="C15" s="32">
        <v>0</v>
      </c>
      <c r="D15" s="32"/>
      <c r="E15" s="33" t="s">
        <v>28</v>
      </c>
      <c r="F15" s="33"/>
      <c r="G15" s="43" t="str">
        <f ca="1">IF(C15 = "TBD", "TBD", IF(B15 = "", "IDK!!", IF(TODAY() &gt; B15, "Passed", IF(TODAY() = B15, "Today!!", "Upcoming"))))</f>
        <v>Passed</v>
      </c>
    </row>
    <row r="16" spans="2:7" ht="15.75" thickBot="1">
      <c r="B16" s="6" t="s">
        <v>11</v>
      </c>
      <c r="C16" s="7">
        <f>SUM(C14:C15)</f>
        <v>0</v>
      </c>
      <c r="D16" s="19"/>
      <c r="E16" s="27"/>
      <c r="F16" s="27"/>
      <c r="G16" s="20"/>
    </row>
    <row r="19" spans="2:2">
      <c r="B19" t="s">
        <v>4</v>
      </c>
    </row>
    <row r="20" spans="2:2">
      <c r="B20" t="s">
        <v>32</v>
      </c>
    </row>
    <row r="21" spans="2:2">
      <c r="B21" t="s">
        <v>10</v>
      </c>
    </row>
    <row r="22" spans="2:2">
      <c r="B22" t="s">
        <v>33</v>
      </c>
    </row>
  </sheetData>
  <autoFilter ref="B13:G13" xr:uid="{3C8D74E6-E2F4-497A-863D-7746D04C8BB1}"/>
  <conditionalFormatting sqref="E3 E5">
    <cfRule type="cellIs" dxfId="2" priority="3" operator="greaterThan">
      <formula>0</formula>
    </cfRule>
  </conditionalFormatting>
  <conditionalFormatting sqref="E3 E5:E11">
    <cfRule type="cellIs" dxfId="1" priority="5" operator="lessThanOrEqual">
      <formula>0</formula>
    </cfRule>
  </conditionalFormatting>
  <conditionalFormatting sqref="E14:E15">
    <cfRule type="cellIs" dxfId="0" priority="4" operator="equal">
      <formula>"No"</formula>
    </cfRule>
  </conditionalFormatting>
  <dataValidations disablePrompts="1" count="1">
    <dataValidation type="list" allowBlank="1" showInputMessage="1" showErrorMessage="1" errorTitle="Nope!" error="Uh, oh... looks like you've provide an invalid input. Shame on you and your dog." sqref="D14:D15" xr:uid="{821379CD-A92C-4B70-8178-0837CF955E39}">
      <formula1>$B$19:$B$22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2027</vt:lpstr>
      <vt:lpstr>2026</vt:lpstr>
      <vt:lpstr>2025_Original</vt:lpstr>
      <vt:lpstr>2025</vt:lpstr>
      <vt:lpstr>2024</vt:lpstr>
      <vt:lpstr>Template</vt:lpstr>
    </vt:vector>
  </TitlesOfParts>
  <Company>United Wholesale Mortgage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Stuart</dc:creator>
  <cp:lastModifiedBy>Nathan Stuart</cp:lastModifiedBy>
  <dcterms:created xsi:type="dcterms:W3CDTF">2024-04-29T12:12:27Z</dcterms:created>
  <dcterms:modified xsi:type="dcterms:W3CDTF">2026-10-20T10:40:31Z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c92d4e-2488-4e27-8d11-718a63a2fa0f_Enabled">
    <vt:lpwstr>true</vt:lpwstr>
  </property>
  <property fmtid="{D5CDD505-2E9C-101B-9397-08002B2CF9AE}" pid="3" name="MSIP_Label_bcc92d4e-2488-4e27-8d11-718a63a2fa0f_SetDate">
    <vt:lpwstr>2024-04-29T12:38:41Z</vt:lpwstr>
  </property>
  <property fmtid="{D5CDD505-2E9C-101B-9397-08002B2CF9AE}" pid="4" name="MSIP_Label_bcc92d4e-2488-4e27-8d11-718a63a2fa0f_Method">
    <vt:lpwstr>Standard</vt:lpwstr>
  </property>
  <property fmtid="{D5CDD505-2E9C-101B-9397-08002B2CF9AE}" pid="5" name="MSIP_Label_bcc92d4e-2488-4e27-8d11-718a63a2fa0f_Name">
    <vt:lpwstr>bcc92d4e-2488-4e27-8d11-718a63a2fa0f</vt:lpwstr>
  </property>
  <property fmtid="{D5CDD505-2E9C-101B-9397-08002B2CF9AE}" pid="6" name="MSIP_Label_bcc92d4e-2488-4e27-8d11-718a63a2fa0f_SiteId">
    <vt:lpwstr>13d3189d-22a4-4f96-bbc9-2af46c222581</vt:lpwstr>
  </property>
  <property fmtid="{D5CDD505-2E9C-101B-9397-08002B2CF9AE}" pid="7" name="MSIP_Label_bcc92d4e-2488-4e27-8d11-718a63a2fa0f_ActionId">
    <vt:lpwstr>5e0d31a8-fd5f-4d36-9a99-8ff42bc03d18</vt:lpwstr>
  </property>
  <property fmtid="{D5CDD505-2E9C-101B-9397-08002B2CF9AE}" pid="8" name="MSIP_Label_bcc92d4e-2488-4e27-8d11-718a63a2fa0f_ContentBits">
    <vt:lpwstr>0</vt:lpwstr>
  </property>
</Properties>
</file>