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BCBC9001-FE05-40F6-87D7-CED6FF139481}" xr6:coauthVersionLast="47" xr6:coauthVersionMax="47" xr10:uidLastSave="{00000000-0000-0000-0000-000000000000}"/>
  <bookViews>
    <workbookView xWindow="3885" yWindow="825" windowWidth="24360" windowHeight="1690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'2026'!$B$13:$K$37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7" l="1"/>
  <c r="G15" i="7"/>
  <c r="F15" i="7"/>
  <c r="C15" i="7"/>
  <c r="C16" i="7"/>
  <c r="F16" i="7"/>
  <c r="G16" i="7" s="1"/>
  <c r="C17" i="7"/>
  <c r="F17" i="7"/>
  <c r="G17" i="7" s="1"/>
  <c r="C18" i="7"/>
  <c r="F18" i="7"/>
  <c r="G18" i="7" s="1"/>
  <c r="C19" i="7"/>
  <c r="F19" i="7"/>
  <c r="G19" i="7" s="1"/>
  <c r="C20" i="7"/>
  <c r="F20" i="7"/>
  <c r="G20" i="7"/>
  <c r="C21" i="7"/>
  <c r="F21" i="7"/>
  <c r="G21" i="7"/>
  <c r="C22" i="7"/>
  <c r="F22" i="7"/>
  <c r="G22" i="7" s="1"/>
  <c r="C23" i="7"/>
  <c r="F23" i="7"/>
  <c r="G23" i="7" s="1"/>
  <c r="C24" i="7"/>
  <c r="F24" i="7"/>
  <c r="G24" i="7"/>
  <c r="C25" i="7"/>
  <c r="F25" i="7"/>
  <c r="G25" i="7" s="1"/>
  <c r="C26" i="7"/>
  <c r="F26" i="7"/>
  <c r="G26" i="7"/>
  <c r="C27" i="7"/>
  <c r="F27" i="7"/>
  <c r="G27" i="7" s="1"/>
  <c r="C28" i="7"/>
  <c r="F28" i="7"/>
  <c r="G28" i="7"/>
  <c r="C29" i="7"/>
  <c r="F29" i="7"/>
  <c r="G29" i="7" s="1"/>
  <c r="C30" i="7"/>
  <c r="F30" i="7"/>
  <c r="G30" i="7"/>
  <c r="C31" i="7"/>
  <c r="F31" i="7"/>
  <c r="G31" i="7" s="1"/>
  <c r="C32" i="7"/>
  <c r="F32" i="7"/>
  <c r="G32" i="7"/>
  <c r="C33" i="7"/>
  <c r="F33" i="7"/>
  <c r="G33" i="7"/>
  <c r="C34" i="7"/>
  <c r="F34" i="7"/>
  <c r="G34" i="7" s="1"/>
  <c r="C35" i="7"/>
  <c r="F35" i="7"/>
  <c r="G35" i="7" s="1"/>
  <c r="C36" i="7"/>
  <c r="F36" i="7"/>
  <c r="G36" i="7"/>
  <c r="F14" i="7" l="1"/>
  <c r="C14" i="7"/>
  <c r="K14" i="7" s="1"/>
  <c r="K28" i="7"/>
  <c r="K16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37" i="7"/>
  <c r="E10" i="7"/>
  <c r="E11" i="7" s="1"/>
  <c r="K17" i="7"/>
  <c r="K31" i="7"/>
  <c r="K33" i="7"/>
  <c r="K34" i="7"/>
  <c r="K32" i="7"/>
  <c r="K30" i="7"/>
  <c r="K29" i="7"/>
  <c r="K20" i="7"/>
  <c r="K21" i="7"/>
  <c r="K22" i="7"/>
  <c r="K23" i="7"/>
  <c r="K24" i="7"/>
  <c r="K25" i="7"/>
  <c r="K26" i="7"/>
  <c r="K27" i="7"/>
  <c r="K19" i="7"/>
  <c r="K18" i="7"/>
  <c r="K36" i="7"/>
  <c r="K35" i="7"/>
  <c r="C11" i="7"/>
  <c r="C9" i="7"/>
  <c r="C7" i="7"/>
  <c r="J3" i="7" a="1"/>
  <c r="J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37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<sst xmlns="http://schemas.openxmlformats.org/spreadsheetml/2006/main" count="461" uniqueCount="71">
  <si>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</si>
  <si>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</si>
  <si>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</si>
  <si>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</si>
  <si>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</si>
  <si>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</si>
  <si>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</si>
  <si>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</si>
  <si>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</si>
  <si>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</si>
  <si>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</si>
  <si>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</si>
  <si>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</si>
  <si>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</si>
  <si>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</si>
  <si>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</si>
  <si>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</si>
  <si>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</si>
  <si>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</si>
  <si>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</si>
  <si>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</si>
  <si>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</si>
  <si>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</si>
  <si>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</si>
  <si>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</si>
  <si>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</si>
  <si>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</si>
  <si>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</si>
  <si>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</si>
  <si>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</si>
  <si>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</si>
  <si>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</si>
  <si>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</si>
  <si>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</si>
  <si>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</si>
  <si>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</si>
  <si>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</si>
  <si>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</si>
  <si>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</si>
  <si>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</si>
  <si>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</si>
  <si>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</si>
  <si>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</si>
  <si>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</si>
  <si>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</si>
  <si>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</si>
  <si>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</si>
  <si>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</si>
  <si>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</si>
  <si>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</si>
  <si>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</si>
  <si>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</si>
  <si>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</si>
  <si>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</si>
  <si>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</si>
  <si>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</si>
  <si>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</si>
  <si>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</si>
  <si>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</si>
  <si>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</si>
  <si>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</si>
  <si>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Splash Village (???)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</si>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</sst>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5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27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47" xfId="0" applyFill="1" applyBorder="1" applyAlignment="1">
      <alignment horizontal="center"/>
    </xf>
    <xf numFmtId="18" fontId="0" fillId="6" borderId="7" xfId="0" applyNumberFormat="1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6" borderId="3" xfId="0" applyFill="1" applyBorder="1" applyAlignment="1">
      <alignment horizontal="center" wrapText="1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9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0" fontId="0" fillId="6" borderId="0" xfId="0" applyFill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18" fontId="0" fillId="11" borderId="14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64" xfId="0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165" fontId="0" fillId="10" borderId="23" xfId="0" applyNumberFormat="1" applyFill="1" applyBorder="1" applyAlignment="1">
      <alignment horizontal="center"/>
    </xf>
    <xf numFmtId="0" fontId="0" fillId="10" borderId="19" xfId="0" applyFill="1" applyBorder="1" applyAlignment="1">
      <alignment horizontal="center"/>
    </xf>
    <xf numFmtId="18" fontId="0" fillId="10" borderId="10" xfId="0" applyNumberFormat="1" applyFill="1" applyBorder="1" applyAlignment="1">
      <alignment horizontal="center"/>
    </xf>
    <xf numFmtId="0" fontId="0" fillId="10" borderId="63" xfId="0" applyFill="1" applyBorder="1" applyAlignment="1">
      <alignment horizontal="center"/>
    </xf>
    <xf numFmtId="0" fontId="0" fillId="10" borderId="54" xfId="0" applyFill="1" applyBorder="1" applyAlignment="1">
      <alignment horizontal="center"/>
    </xf>
    <xf numFmtId="0" fontId="0" fillId="10" borderId="1" xfId="0" applyFill="1" applyBorder="1" applyAlignment="1">
      <alignment horizontal="center" wrapText="1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92355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446143</xdr:colOff>
      <xdr:row>28</xdr:row>
      <xdr:rowOff>28505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25774" y="2248460"/>
          <a:ext cx="5132445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39</xdr:row>
      <xdr:rowOff>100853</xdr:rowOff>
    </xdr:from>
    <xdr:to>
      <xdr:col>26</xdr:col>
      <xdr:colOff>458322</xdr:colOff>
      <xdr:row>59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K37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57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168.5</v>
      </c>
      <c r="D3" s="3">
        <f ca="1">C3-E3</f>
        <v>144</v>
      </c>
      <c r="E3" s="1">
        <f ca="1">C3 - C6 - SUMIF(H14:H36, "PTO", G14:G36)</f>
        <v>24.5</v>
      </c>
      <c r="J3" s="56" t="str" cm="1">
        <f t="array" aca="1" ref="J3" ca="1">"PTO Reset: 02/12/" &amp; (RIGHT(CELL("filename",A2),LEN(CELL("filename",A2))-SEARCH("]",CELL("filename",A2)))) + 1</f>
        <v>PTO Reset: 02/12/2027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1" ht="15.75" thickBot="1">
      <c r="B5" s="6" t="s">
        <v>5</v>
      </c>
      <c r="C5" s="7">
        <f ca="1">C3/8</f>
        <v>21.0625</v>
      </c>
      <c r="D5" s="7">
        <f ca="1">D3/8</f>
        <v>18</v>
      </c>
      <c r="E5" s="8">
        <f ca="1">E3/8</f>
        <v>3.0625</v>
      </c>
    </row>
    <row r="6" spans="2:11">
      <c r="B6" s="9" t="s">
        <v>15</v>
      </c>
      <c r="C6" s="10">
        <v>40</v>
      </c>
      <c r="D6" s="10">
        <f>C6-E6</f>
        <v>0</v>
      </c>
      <c r="E6" s="11">
        <f>C6 - SUMIF(H14:H36, "Sick", G14:G36)</f>
        <v>40</v>
      </c>
    </row>
    <row r="7" spans="2:11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1">
      <c r="B8" s="5" t="s">
        <v>7</v>
      </c>
      <c r="C8" s="2">
        <v>16</v>
      </c>
      <c r="D8" s="2">
        <f>C8-E8</f>
        <v>11.999999999999998</v>
      </c>
      <c r="E8" s="1">
        <f>C8 - SUMIF(H14:H36, "Be You", G14:G36)</f>
        <v>4.0000000000000018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1.4999999999999998</v>
      </c>
      <c r="E9" s="15">
        <f>E8/8</f>
        <v>0.50000000000000022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SUMIF(H14:H36, "Volunteer", G14:G36)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>
      <c r="B14" s="122">
        <v>46059</v>
      </c>
      <c r="C14" s="240" t="str">
        <f t="shared" ref="C14:C19" si="0">IF(ISNUMBER(FIND("?", B14, 1)), "TBD", TEXT(B14, "ddd"))</f>
        <v>Fri</v>
      </c>
      <c r="D14" s="241">
        <v>0.45833333333333331</v>
      </c>
      <c r="E14" s="241">
        <v>0.66666666666666663</v>
      </c>
      <c r="F14" s="263">
        <f>((E14 - D14) * 24)</f>
        <v>5</v>
      </c>
      <c r="G14" s="240">
        <f t="shared" ref="G14:G19" si="1">IF(F14 &gt; 4, (F14 - 1), F14)</f>
        <v>4</v>
      </c>
      <c r="H14" s="242" t="s">
        <v>10</v>
      </c>
      <c r="I14" s="196" t="s">
        <v>20</v>
      </c>
      <c r="J14" s="243" t="s">
        <v>68</v>
      </c>
      <c r="K14" s="42" t="str">
        <f t="shared" ref="K14:K19" ca="1" si="2">IF(C14 = "TBD", "TBD", IF(B14 = "", "IDK!!", IF(TODAY() &gt; B14, "Passed", IF(TODAY() = B14, "Today!!", "Upcoming"))))</f>
        <v>Passed</v>
      </c>
    </row>
    <row r="15" spans="2:11" ht="15.75" thickBot="1">
      <c r="B15" s="321">
        <v>46080</v>
      </c>
      <c r="C15" s="322" t="str">
        <f t="shared" si="0"/>
        <v>Fri</v>
      </c>
      <c r="D15" s="323">
        <v>0.29166666666666669</v>
      </c>
      <c r="E15" s="323">
        <v>0.66666666666666663</v>
      </c>
      <c r="F15" s="324">
        <f>((E15 - D15) * 24)</f>
        <v>8.9999999999999982</v>
      </c>
      <c r="G15" s="322">
        <f>IF(F15 &gt; 4, (F15 - 1), F15)</f>
        <v>7.9999999999999982</v>
      </c>
      <c r="H15" s="325" t="s">
        <v>69</v>
      </c>
      <c r="I15" s="244" t="s">
        <v>20</v>
      </c>
      <c r="J15" s="326" t="s">
        <v>70</v>
      </c>
      <c r="K15" s="60" t="str">
        <f t="shared" ca="1" si="2"/>
        <v>Passed</v>
      </c>
    </row>
    <row r="16" spans="2:11" ht="15.75" thickBot="1">
      <c r="B16" s="112">
        <v>46164</v>
      </c>
      <c r="C16" s="271" t="str">
        <f t="shared" si="0"/>
        <v>Fri</v>
      </c>
      <c r="D16" s="300">
        <v>0.45833333333333331</v>
      </c>
      <c r="E16" s="300">
        <v>0.66666666666666663</v>
      </c>
      <c r="F16" s="301">
        <f t="shared" ref="F16:F19" si="3">((E16 - D16) * 24)</f>
        <v>5</v>
      </c>
      <c r="G16" s="299">
        <f t="shared" si="1"/>
        <v>4</v>
      </c>
      <c r="H16" s="272" t="s">
        <v>4</v>
      </c>
      <c r="I16" s="196" t="s">
        <v>20</v>
      </c>
      <c r="J16" s="273" t="s">
        <v>42</v>
      </c>
      <c r="K16" s="47" t="str">
        <f t="shared" ca="1" si="2"/>
        <v>Upcoming</v>
      </c>
    </row>
    <row r="17" spans="2:11" ht="15.75" thickBot="1">
      <c r="B17" s="286">
        <v>46213</v>
      </c>
      <c r="C17" s="217" t="str">
        <f t="shared" si="0"/>
        <v>Fri</v>
      </c>
      <c r="D17" s="287">
        <v>0.29166666666666669</v>
      </c>
      <c r="E17" s="287">
        <v>0.66666666666666663</v>
      </c>
      <c r="F17" s="290">
        <f t="shared" si="3"/>
        <v>8.9999999999999982</v>
      </c>
      <c r="G17" s="165">
        <f t="shared" si="1"/>
        <v>7.9999999999999982</v>
      </c>
      <c r="H17" s="288" t="s">
        <v>4</v>
      </c>
      <c r="I17" s="196" t="s">
        <v>28</v>
      </c>
      <c r="J17" s="289" t="s">
        <v>61</v>
      </c>
      <c r="K17" s="47" t="str">
        <f t="shared" ca="1" si="2"/>
        <v>Upcoming</v>
      </c>
    </row>
    <row r="18" spans="2:11" ht="15.75" thickBot="1">
      <c r="B18" s="122">
        <v>46237</v>
      </c>
      <c r="C18" s="240" t="str">
        <f t="shared" si="0"/>
        <v>Mon</v>
      </c>
      <c r="D18" s="241">
        <v>0.45833333333333331</v>
      </c>
      <c r="E18" s="241">
        <v>0.66666666666666663</v>
      </c>
      <c r="F18" s="263">
        <f t="shared" si="3"/>
        <v>5</v>
      </c>
      <c r="G18" s="240">
        <f t="shared" si="1"/>
        <v>4</v>
      </c>
      <c r="H18" s="242" t="s">
        <v>4</v>
      </c>
      <c r="I18" s="196" t="s">
        <v>20</v>
      </c>
      <c r="J18" s="243" t="s">
        <v>59</v>
      </c>
      <c r="K18" s="258" t="str">
        <f t="shared" ca="1" si="2"/>
        <v>Upcoming</v>
      </c>
    </row>
    <row r="19" spans="2:11" ht="15.75" thickBot="1">
      <c r="B19" s="123">
        <v>46238</v>
      </c>
      <c r="C19" s="250" t="str">
        <f t="shared" si="0"/>
        <v>Tue</v>
      </c>
      <c r="D19" s="251">
        <v>0.45833333333333331</v>
      </c>
      <c r="E19" s="251">
        <v>0.66666666666666663</v>
      </c>
      <c r="F19" s="264">
        <f t="shared" si="3"/>
        <v>5</v>
      </c>
      <c r="G19" s="250">
        <f t="shared" si="1"/>
        <v>4</v>
      </c>
      <c r="H19" s="252" t="s">
        <v>4</v>
      </c>
      <c r="I19" s="199" t="s">
        <v>20</v>
      </c>
      <c r="J19" s="253" t="s">
        <v>59</v>
      </c>
      <c r="K19" s="59" t="str">
        <f t="shared" ca="1" si="2"/>
        <v>Upcoming</v>
      </c>
    </row>
    <row r="20" spans="2:11" ht="15.75" thickBot="1">
      <c r="B20" s="254">
        <v>46239</v>
      </c>
      <c r="C20" s="250" t="str">
        <f t="shared" ref="C20:C34" si="4">IF(ISNUMBER(FIND("?", B20, 1)), "TBD", TEXT(B20, "ddd"))</f>
        <v>Wed</v>
      </c>
      <c r="D20" s="251">
        <v>0.45833333333333331</v>
      </c>
      <c r="E20" s="251">
        <v>0.66666666666666663</v>
      </c>
      <c r="F20" s="264">
        <f t="shared" ref="F20:F31" si="5">((E20 - D20) * 24)</f>
        <v>5</v>
      </c>
      <c r="G20" s="250">
        <f t="shared" ref="G20:G34" si="6">IF(F20 &gt; 4, (F20 - 1), F20)</f>
        <v>4</v>
      </c>
      <c r="H20" s="252" t="s">
        <v>4</v>
      </c>
      <c r="I20" s="199" t="s">
        <v>20</v>
      </c>
      <c r="J20" s="253" t="s">
        <v>59</v>
      </c>
      <c r="K20" s="59" t="str">
        <f t="shared" ref="K20:K34" ca="1" si="7">IF(C20 = "TBD", "TBD", IF(B20 = "", "IDK!!", IF(TODAY() &gt; B20, "Passed", IF(TODAY() = B20, "Today!!", "Upcoming"))))</f>
        <v>Upcoming</v>
      </c>
    </row>
    <row r="21" spans="2:11" ht="15.75" thickBot="1">
      <c r="B21" s="254">
        <v>46240</v>
      </c>
      <c r="C21" s="250" t="str">
        <f t="shared" si="4"/>
        <v>Thu</v>
      </c>
      <c r="D21" s="251">
        <v>0.45833333333333331</v>
      </c>
      <c r="E21" s="251">
        <v>0.66666666666666663</v>
      </c>
      <c r="F21" s="264">
        <f t="shared" si="5"/>
        <v>5</v>
      </c>
      <c r="G21" s="250">
        <f t="shared" si="6"/>
        <v>4</v>
      </c>
      <c r="H21" s="252" t="s">
        <v>4</v>
      </c>
      <c r="I21" s="199" t="s">
        <v>20</v>
      </c>
      <c r="J21" s="253" t="s">
        <v>59</v>
      </c>
      <c r="K21" s="59" t="str">
        <f t="shared" ca="1" si="7"/>
        <v>Upcoming</v>
      </c>
    </row>
    <row r="22" spans="2:11" ht="15.75" thickBot="1">
      <c r="B22" s="254">
        <v>46241</v>
      </c>
      <c r="C22" s="250" t="str">
        <f t="shared" si="4"/>
        <v>Fri</v>
      </c>
      <c r="D22" s="251">
        <v>0.45833333333333331</v>
      </c>
      <c r="E22" s="251">
        <v>0.66666666666666663</v>
      </c>
      <c r="F22" s="264">
        <f t="shared" si="5"/>
        <v>5</v>
      </c>
      <c r="G22" s="250">
        <f t="shared" si="6"/>
        <v>4</v>
      </c>
      <c r="H22" s="252" t="s">
        <v>4</v>
      </c>
      <c r="I22" s="199" t="s">
        <v>20</v>
      </c>
      <c r="J22" s="253" t="s">
        <v>59</v>
      </c>
      <c r="K22" s="59" t="str">
        <f t="shared" ca="1" si="7"/>
        <v>Upcoming</v>
      </c>
    </row>
    <row r="23" spans="2:11" ht="15.75" thickBot="1">
      <c r="B23" s="254">
        <v>46244</v>
      </c>
      <c r="C23" s="250" t="str">
        <f t="shared" si="4"/>
        <v>Mon</v>
      </c>
      <c r="D23" s="251">
        <v>0.45833333333333331</v>
      </c>
      <c r="E23" s="251">
        <v>0.66666666666666663</v>
      </c>
      <c r="F23" s="264">
        <f t="shared" si="5"/>
        <v>5</v>
      </c>
      <c r="G23" s="250">
        <f t="shared" si="6"/>
        <v>4</v>
      </c>
      <c r="H23" s="252" t="s">
        <v>4</v>
      </c>
      <c r="I23" s="199" t="s">
        <v>20</v>
      </c>
      <c r="J23" s="253" t="s">
        <v>39</v>
      </c>
      <c r="K23" s="59" t="str">
        <f t="shared" ca="1" si="7"/>
        <v>Upcoming</v>
      </c>
    </row>
    <row r="24" spans="2:11" ht="15.75" thickBot="1">
      <c r="B24" s="254">
        <v>46245</v>
      </c>
      <c r="C24" s="250" t="str">
        <f t="shared" si="4"/>
        <v>Tue</v>
      </c>
      <c r="D24" s="251">
        <v>0.45833333333333331</v>
      </c>
      <c r="E24" s="251">
        <v>0.66666666666666663</v>
      </c>
      <c r="F24" s="264">
        <f t="shared" si="5"/>
        <v>5</v>
      </c>
      <c r="G24" s="250">
        <f t="shared" si="6"/>
        <v>4</v>
      </c>
      <c r="H24" s="252" t="s">
        <v>4</v>
      </c>
      <c r="I24" s="199" t="s">
        <v>20</v>
      </c>
      <c r="J24" s="253" t="s">
        <v>39</v>
      </c>
      <c r="K24" s="59" t="str">
        <f t="shared" ca="1" si="7"/>
        <v>Upcoming</v>
      </c>
    </row>
    <row r="25" spans="2:11" ht="15.75" thickBot="1">
      <c r="B25" s="254">
        <v>46246</v>
      </c>
      <c r="C25" s="250" t="str">
        <f t="shared" si="4"/>
        <v>Wed</v>
      </c>
      <c r="D25" s="251">
        <v>0.45833333333333331</v>
      </c>
      <c r="E25" s="251">
        <v>0.66666666666666663</v>
      </c>
      <c r="F25" s="264">
        <f t="shared" si="5"/>
        <v>5</v>
      </c>
      <c r="G25" s="250">
        <f t="shared" si="6"/>
        <v>4</v>
      </c>
      <c r="H25" s="252" t="s">
        <v>4</v>
      </c>
      <c r="I25" s="199" t="s">
        <v>20</v>
      </c>
      <c r="J25" s="253" t="s">
        <v>39</v>
      </c>
      <c r="K25" s="59" t="str">
        <f t="shared" ca="1" si="7"/>
        <v>Upcoming</v>
      </c>
    </row>
    <row r="26" spans="2:11" ht="15.75" thickBot="1">
      <c r="B26" s="255">
        <v>46247</v>
      </c>
      <c r="C26" s="250" t="str">
        <f t="shared" si="4"/>
        <v>Thu</v>
      </c>
      <c r="D26" s="251">
        <v>0.45833333333333331</v>
      </c>
      <c r="E26" s="251">
        <v>0.66666666666666663</v>
      </c>
      <c r="F26" s="264">
        <f t="shared" si="5"/>
        <v>5</v>
      </c>
      <c r="G26" s="250">
        <f t="shared" si="6"/>
        <v>4</v>
      </c>
      <c r="H26" s="252" t="s">
        <v>4</v>
      </c>
      <c r="I26" s="199" t="s">
        <v>20</v>
      </c>
      <c r="J26" s="253" t="s">
        <v>39</v>
      </c>
      <c r="K26" s="59" t="str">
        <f t="shared" ca="1" si="7"/>
        <v>Upcoming</v>
      </c>
    </row>
    <row r="27" spans="2:11" ht="15.75" thickBot="1">
      <c r="B27" s="255">
        <v>46248</v>
      </c>
      <c r="C27" s="245" t="str">
        <f t="shared" si="4"/>
        <v>Fri</v>
      </c>
      <c r="D27" s="246">
        <v>0.45833333333333331</v>
      </c>
      <c r="E27" s="246">
        <v>0.66666666666666663</v>
      </c>
      <c r="F27" s="268">
        <f t="shared" si="5"/>
        <v>5</v>
      </c>
      <c r="G27" s="245">
        <f t="shared" si="6"/>
        <v>4</v>
      </c>
      <c r="H27" s="247" t="s">
        <v>4</v>
      </c>
      <c r="I27" s="248" t="s">
        <v>20</v>
      </c>
      <c r="J27" s="249" t="s">
        <v>39</v>
      </c>
      <c r="K27" s="257" t="str">
        <f t="shared" ca="1" si="7"/>
        <v>Upcoming</v>
      </c>
    </row>
    <row r="28" spans="2:11" ht="15.75" thickBot="1">
      <c r="B28" s="310">
        <v>46269</v>
      </c>
      <c r="C28" s="311" t="str">
        <f t="shared" ref="C28" si="8">IF(ISNUMBER(FIND("?", B28, 1)), "TBD", TEXT(B28, "ddd"))</f>
        <v>Fri</v>
      </c>
      <c r="D28" s="312">
        <v>0.45833333333333331</v>
      </c>
      <c r="E28" s="312">
        <v>0.66666666666666663</v>
      </c>
      <c r="F28" s="313">
        <f t="shared" ref="F28" si="9">((E28 - D28) * 24)</f>
        <v>5</v>
      </c>
      <c r="G28" s="311">
        <f t="shared" ref="G28" si="10">IF(F28 &gt; 4, (F28 - 1), F28)</f>
        <v>4</v>
      </c>
      <c r="H28" s="314" t="s">
        <v>4</v>
      </c>
      <c r="I28" s="200" t="s">
        <v>20</v>
      </c>
      <c r="J28" s="315" t="s">
        <v>24</v>
      </c>
      <c r="K28" s="192" t="str">
        <f t="shared" ref="K28" ca="1" si="11">IF(C28 = "TBD", "TBD", IF(B28 = "", "IDK!!", IF(TODAY() &gt; B28, "Passed", IF(TODAY() = B28, "Today!!", "Upcoming"))))</f>
        <v>Upcoming</v>
      </c>
    </row>
    <row r="29" spans="2:11" ht="15.75" thickBot="1">
      <c r="B29" s="124">
        <v>46353</v>
      </c>
      <c r="C29" s="173" t="str">
        <f t="shared" si="4"/>
        <v>Fri</v>
      </c>
      <c r="D29" s="155">
        <v>0.29166666666666669</v>
      </c>
      <c r="E29" s="155">
        <v>0.66666666666666663</v>
      </c>
      <c r="F29" s="226">
        <f t="shared" si="5"/>
        <v>8.9999999999999982</v>
      </c>
      <c r="G29" s="173">
        <f t="shared" si="6"/>
        <v>7.9999999999999982</v>
      </c>
      <c r="H29" s="188" t="s">
        <v>4</v>
      </c>
      <c r="I29" s="200" t="s">
        <v>20</v>
      </c>
      <c r="J29" s="276" t="s">
        <v>14</v>
      </c>
      <c r="K29" s="192" t="str">
        <f t="shared" ca="1" si="7"/>
        <v>Upcoming</v>
      </c>
    </row>
    <row r="30" spans="2:11" ht="15.75" thickBot="1">
      <c r="B30" s="112">
        <v>46380</v>
      </c>
      <c r="C30" s="271" t="str">
        <f t="shared" si="4"/>
        <v>Thu</v>
      </c>
      <c r="D30" s="269">
        <v>0.29166666666666669</v>
      </c>
      <c r="E30" s="269">
        <v>0.66666666666666663</v>
      </c>
      <c r="F30" s="270">
        <f t="shared" si="5"/>
        <v>8.9999999999999982</v>
      </c>
      <c r="G30" s="271">
        <f t="shared" si="6"/>
        <v>7.9999999999999982</v>
      </c>
      <c r="H30" s="272" t="s">
        <v>4</v>
      </c>
      <c r="I30" s="196" t="s">
        <v>20</v>
      </c>
      <c r="J30" s="273" t="s">
        <v>60</v>
      </c>
      <c r="K30" s="42" t="str">
        <f t="shared" ca="1" si="7"/>
        <v>Upcoming</v>
      </c>
    </row>
    <row r="31" spans="2:11" ht="15.75" thickBot="1">
      <c r="B31" s="120">
        <v>46384</v>
      </c>
      <c r="C31" s="281" t="str">
        <f t="shared" si="4"/>
        <v>Mon</v>
      </c>
      <c r="D31" s="282">
        <v>0.29166666666666669</v>
      </c>
      <c r="E31" s="282">
        <v>0.66666666666666663</v>
      </c>
      <c r="F31" s="283">
        <f t="shared" si="5"/>
        <v>8.9999999999999982</v>
      </c>
      <c r="G31" s="281">
        <f t="shared" si="6"/>
        <v>7.9999999999999982</v>
      </c>
      <c r="H31" s="284" t="s">
        <v>4</v>
      </c>
      <c r="I31" s="199" t="s">
        <v>20</v>
      </c>
      <c r="J31" s="285" t="s">
        <v>60</v>
      </c>
      <c r="K31" s="59" t="str">
        <f t="shared" ca="1" si="7"/>
        <v>Upcoming</v>
      </c>
    </row>
    <row r="32" spans="2:11" ht="15.75" thickBot="1">
      <c r="B32" s="277">
        <v>46385</v>
      </c>
      <c r="C32" s="278" t="str">
        <f t="shared" si="4"/>
        <v>Tue</v>
      </c>
      <c r="D32" s="282">
        <v>0.29166666666666669</v>
      </c>
      <c r="E32" s="282">
        <v>0.66666666666666663</v>
      </c>
      <c r="F32" s="283">
        <f t="shared" ref="F32:F34" si="12">((E32 - D32) * 24)</f>
        <v>8.9999999999999982</v>
      </c>
      <c r="G32" s="281">
        <f t="shared" si="6"/>
        <v>7.9999999999999982</v>
      </c>
      <c r="H32" s="279" t="s">
        <v>4</v>
      </c>
      <c r="I32" s="198" t="s">
        <v>20</v>
      </c>
      <c r="J32" s="280" t="s">
        <v>60</v>
      </c>
      <c r="K32" s="193" t="str">
        <f t="shared" ca="1" si="7"/>
        <v>Upcoming</v>
      </c>
    </row>
    <row r="33" spans="2:11">
      <c r="B33" s="277">
        <v>46386</v>
      </c>
      <c r="C33" s="278" t="str">
        <f t="shared" si="4"/>
        <v>Wed</v>
      </c>
      <c r="D33" s="282">
        <v>0.29166666666666669</v>
      </c>
      <c r="E33" s="282">
        <v>0.66666666666666663</v>
      </c>
      <c r="F33" s="283">
        <f t="shared" si="12"/>
        <v>8.9999999999999982</v>
      </c>
      <c r="G33" s="281">
        <f t="shared" si="6"/>
        <v>7.9999999999999982</v>
      </c>
      <c r="H33" s="279" t="s">
        <v>4</v>
      </c>
      <c r="I33" s="198" t="s">
        <v>20</v>
      </c>
      <c r="J33" s="280" t="s">
        <v>60</v>
      </c>
      <c r="K33" s="193" t="str">
        <f t="shared" ca="1" si="7"/>
        <v>Upcoming</v>
      </c>
    </row>
    <row r="34" spans="2:11" ht="15.75" thickBot="1">
      <c r="B34" s="113">
        <v>46387</v>
      </c>
      <c r="C34" s="278" t="str">
        <f t="shared" si="4"/>
        <v>Thu</v>
      </c>
      <c r="D34" s="282">
        <v>0.29166666666666669</v>
      </c>
      <c r="E34" s="282">
        <v>0.66666666666666663</v>
      </c>
      <c r="F34" s="283">
        <f t="shared" si="12"/>
        <v>8.9999999999999982</v>
      </c>
      <c r="G34" s="281">
        <f t="shared" si="6"/>
        <v>7.9999999999999982</v>
      </c>
      <c r="H34" s="274" t="s">
        <v>4</v>
      </c>
      <c r="I34" s="244" t="s">
        <v>20</v>
      </c>
      <c r="J34" s="275" t="s">
        <v>60</v>
      </c>
      <c r="K34" s="193" t="str">
        <f t="shared" ca="1" si="7"/>
        <v>Upcoming</v>
      </c>
    </row>
    <row r="35" spans="2:11">
      <c r="B35" s="102"/>
      <c r="C35" s="165" t="str">
        <f t="shared" ref="C35:C36" si="13">IF(ISNUMBER(FIND("?", B35, 1)), "TBD", TEXT(B35, "ddd"))</f>
        <v>Sat</v>
      </c>
      <c r="D35" s="157"/>
      <c r="E35" s="157"/>
      <c r="F35" s="220">
        <f t="shared" ref="F35:F36" si="14">((E35 - D35) * 24)</f>
        <v>0</v>
      </c>
      <c r="G35" s="217">
        <f t="shared" ref="G35:G36" si="15">IF(F35 &gt; 4, (F35 - 1), F35)</f>
        <v>0</v>
      </c>
      <c r="H35" s="180"/>
      <c r="I35" s="197" t="s">
        <v>67</v>
      </c>
      <c r="J35" s="205"/>
      <c r="K35" s="258" t="str">
        <f t="shared" ref="K35:K36" ca="1" si="16">IF(C35 = "TBD", "TBD", IF(B35 = "", "IDK!!", IF(TODAY() &gt; B35, "Passed", IF(TODAY() = B35, "Today!!", "Upcoming"))))</f>
        <v>IDK!!</v>
      </c>
    </row>
    <row r="36" spans="2:11" ht="15.75" thickBot="1">
      <c r="B36" s="265"/>
      <c r="C36" s="259" t="str">
        <f t="shared" si="13"/>
        <v>Sat</v>
      </c>
      <c r="D36" s="266"/>
      <c r="E36" s="266"/>
      <c r="F36" s="267">
        <f t="shared" si="14"/>
        <v>0</v>
      </c>
      <c r="G36" s="259">
        <f t="shared" si="15"/>
        <v>0</v>
      </c>
      <c r="H36" s="260"/>
      <c r="I36" s="202" t="s">
        <v>67</v>
      </c>
      <c r="J36" s="261"/>
      <c r="K36" s="256" t="str">
        <f t="shared" ca="1" si="16"/>
        <v>IDK!!</v>
      </c>
    </row>
    <row r="37" spans="2:11" ht="15.75" thickBot="1">
      <c r="B37" s="86" t="s">
        <v>11</v>
      </c>
      <c r="C37" s="318"/>
      <c r="D37" s="319"/>
      <c r="E37" s="320"/>
      <c r="F37" s="228">
        <f>SUM(F14:F36)</f>
        <v>137</v>
      </c>
      <c r="G37" s="262">
        <f>SUM(G14:G36)</f>
        <v>116</v>
      </c>
      <c r="H37" s="316"/>
      <c r="I37" s="317"/>
      <c r="J37" s="317"/>
      <c r="K37" s="317"/>
    </row>
  </sheetData>
  <autoFilter ref="B13:J37" xr:uid="{4B51B8F7-4ACE-45CA-965B-2AD2897F333A}"/>
  <conditionalFormatting sqref="B14:K36">
    <cfRule type="expression" dxfId="20" priority="2">
      <formula>$K14="Passed"</formula>
    </cfRule>
  </conditionalFormatting>
  <conditionalFormatting sqref="C14:F36 K14:K36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I36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63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63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72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91">
        <v>45936</v>
      </c>
      <c r="C37" s="292" t="str">
        <f t="shared" si="0"/>
        <v>Mon</v>
      </c>
      <c r="D37" s="293">
        <v>0.29166666666666669</v>
      </c>
      <c r="E37" s="293">
        <v>0.66666666666666663</v>
      </c>
      <c r="F37" s="294">
        <f t="shared" si="6"/>
        <v>8.9999999999999982</v>
      </c>
      <c r="G37" s="292">
        <f t="shared" si="7"/>
        <v>7.9999999999999982</v>
      </c>
      <c r="H37" s="295" t="s">
        <v>32</v>
      </c>
      <c r="I37" s="296" t="s">
        <v>20</v>
      </c>
      <c r="J37" s="297" t="s">
        <v>64</v>
      </c>
      <c r="K37" s="67" t="str">
        <f t="shared" ca="1" si="3"/>
        <v>Passed</v>
      </c>
    </row>
    <row r="38" spans="2:11" ht="15.75" thickBot="1">
      <c r="B38" s="298">
        <v>45989</v>
      </c>
      <c r="C38" s="299" t="str">
        <f t="shared" ref="C38" si="8">IF(ISNUMBER(FIND("?", B38, 1)), "TBD", TEXT(B38, "ddd"))</f>
        <v>Fri</v>
      </c>
      <c r="D38" s="300">
        <v>0.29166666666666669</v>
      </c>
      <c r="E38" s="300">
        <v>0.66666666666666663</v>
      </c>
      <c r="F38" s="301">
        <f>((E38 - D38) * 24)</f>
        <v>8.9999999999999982</v>
      </c>
      <c r="G38" s="299">
        <f>IF(F38 &gt; 4, (F38 - 1), F38)</f>
        <v>7.9999999999999982</v>
      </c>
      <c r="H38" s="302" t="s">
        <v>4</v>
      </c>
      <c r="I38" s="197" t="s">
        <v>20</v>
      </c>
      <c r="J38" s="303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304">
        <v>45999</v>
      </c>
      <c r="C39" s="305" t="str">
        <f t="shared" si="0"/>
        <v>Mon</v>
      </c>
      <c r="D39" s="306">
        <v>0.60416666666666663</v>
      </c>
      <c r="E39" s="306">
        <v>0.66666666666666663</v>
      </c>
      <c r="F39" s="307">
        <f>((E39 - D39) * 24)</f>
        <v>1.5</v>
      </c>
      <c r="G39" s="305">
        <f>IF(F39 &gt; 4, (F39 - 1), F39)</f>
        <v>1.5</v>
      </c>
      <c r="H39" s="308" t="s">
        <v>32</v>
      </c>
      <c r="I39" s="196" t="s">
        <v>20</v>
      </c>
      <c r="J39" s="309" t="s">
        <v>62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65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66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2026-03-03T11:56:08Z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