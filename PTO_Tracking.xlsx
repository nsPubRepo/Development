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AE2529A5-686B-4025-8080-A58310022ECB}" xr6:coauthVersionLast="47" xr6:coauthVersionMax="47" xr10:uidLastSave="{00000000-0000-0000-0000-000000000000}"/>
  <bookViews>
    <workbookView xWindow="2340" yWindow="0" windowWidth="30285" windowHeight="2098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'2026'!$B$13:$K$47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7" l="1"/>
  <c r="G31" i="7" s="1"/>
  <c r="C31" i="7"/>
  <c r="L31" i="7" s="1"/>
  <c r="F20" i="7"/>
  <c r="G20" i="7" s="1"/>
  <c r="C20" i="7"/>
  <c r="L20" i="7" s="1"/>
  <c r="F21" i="7"/>
  <c r="G21" i="7" s="1"/>
  <c r="C21" i="7"/>
  <c r="L21" i="7" s="1"/>
  <c r="G17" i="8"/>
  <c r="F17" i="8"/>
  <c r="C17" i="8"/>
  <c r="L17" i="8" s="1"/>
  <c r="K3" i="8" a="1"/>
  <c r="K3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C11" i="8"/>
  <c r="E10" i="8"/>
  <c r="E11" i="8" s="1"/>
  <c r="C9" i="8"/>
  <c r="C7" i="8"/>
  <c r="E6" i="8"/>
  <c r="D6" i="8" s="1"/>
  <c r="D7" i="8" s="1"/>
  <c r="F19" i="7"/>
  <c r="G19" i="7" s="1"/>
  <c r="C19" i="7"/>
  <c r="L19" i="7" s="1"/>
  <c r="C24" i="7"/>
  <c r="C18" i="7"/>
  <c r="P47" i="7"/>
  <c r="O39" i="7"/>
  <c r="O40" i="7" s="1"/>
  <c r="O41" i="7" s="1"/>
  <c r="O42" i="7" s="1"/>
  <c r="O43" i="7" s="1"/>
  <c r="O44" i="7" s="1"/>
  <c r="O45" i="7" s="1"/>
  <c r="O46" i="7" s="1"/>
  <c r="O47" i="7" s="1"/>
  <c r="F17" i="7"/>
  <c r="G17" i="7" s="1"/>
  <c r="C17" i="7"/>
  <c r="L17" i="7" s="1"/>
  <c r="F23" i="7"/>
  <c r="G23" i="7" s="1"/>
  <c r="C23" i="7"/>
  <c r="L23" i="7" s="1"/>
  <c r="F37" i="7"/>
  <c r="G37" i="7" s="1"/>
  <c r="C37" i="7"/>
  <c r="L37" i="7" s="1"/>
  <c r="F38" i="7"/>
  <c r="G38" i="7" s="1"/>
  <c r="C38" i="7"/>
  <c r="L38" i="7" s="1"/>
  <c r="F35" i="7"/>
  <c r="G35" i="7" s="1"/>
  <c r="C35" i="7"/>
  <c r="L35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3" i="7"/>
  <c r="F33" i="7"/>
  <c r="G33" i="7" s="1"/>
  <c r="C34" i="7"/>
  <c r="F34" i="7"/>
  <c r="G34" i="7" s="1"/>
  <c r="C36" i="7"/>
  <c r="F36" i="7"/>
  <c r="G36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C43" i="7"/>
  <c r="F43" i="7"/>
  <c r="G43" i="7" s="1"/>
  <c r="C44" i="7"/>
  <c r="F44" i="7"/>
  <c r="G44" i="7" s="1"/>
  <c r="C45" i="7"/>
  <c r="F45" i="7"/>
  <c r="G45" i="7" s="1"/>
  <c r="C46" i="7"/>
  <c r="F46" i="7"/>
  <c r="G46" i="7" s="1"/>
  <c r="E6" i="7" l="1"/>
  <c r="F20" i="8"/>
  <c r="G14" i="8"/>
  <c r="E8" i="8" s="1"/>
  <c r="D8" i="8" s="1"/>
  <c r="D9" i="8" s="1"/>
  <c r="E7" i="8"/>
  <c r="D10" i="8"/>
  <c r="D11" i="8" s="1"/>
  <c r="F14" i="7"/>
  <c r="C14" i="7"/>
  <c r="L14" i="7" s="1"/>
  <c r="L36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20" i="8" l="1"/>
  <c r="E9" i="8"/>
  <c r="G14" i="7"/>
  <c r="F47" i="7"/>
  <c r="E10" i="7"/>
  <c r="E11" i="7" s="1"/>
  <c r="L22" i="7"/>
  <c r="L41" i="7"/>
  <c r="L43" i="7"/>
  <c r="L44" i="7"/>
  <c r="L42" i="7"/>
  <c r="L40" i="7"/>
  <c r="L39" i="7"/>
  <c r="L26" i="7"/>
  <c r="L27" i="7"/>
  <c r="L28" i="7"/>
  <c r="L29" i="7"/>
  <c r="L30" i="7"/>
  <c r="L32" i="7"/>
  <c r="L33" i="7"/>
  <c r="L34" i="7"/>
  <c r="L25" i="7"/>
  <c r="L24" i="7"/>
  <c r="L46" i="7"/>
  <c r="L45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7" i="7"/>
  <c r="D10" i="7"/>
  <c r="D11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C4" i="8" a="1"/>
  <c r="C4" i="8" l="1"/>
  <c r="C3" i="8" s="1"/>
  <c r="E5" i="7"/>
  <c r="C5" i="7"/>
  <c r="D3" i="6"/>
  <c r="D5" i="6" s="1"/>
  <c r="C5" i="8" l="1"/>
  <c r="E3" i="8"/>
  <c r="E5" i="8" s="1"/>
  <c r="D3" i="7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3" i="8" l="1"/>
  <c r="D5" i="8" s="1"/>
  <c r="D10" i="5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<sst xmlns="http://schemas.openxmlformats.org/spreadsheetml/2006/main" count="580" uniqueCount="93">
  <si>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</si>
  <si>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</si>
  <si>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</si>
  <si>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</si>
  <si>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</si>
  <si>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</si>
  <si>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</si>
  <si>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</si>
  <si>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</si>
  <si>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</si>
  <si>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</si>
  <si>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</si>
  <si>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</si>
  <si>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</si>
  <si>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</si>
  <si>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</si>
  <si>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</si>
  <si>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</si>
  <si>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</si>
  <si>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</si>
  <si>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</si>
  <si>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</si>
  <si>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</si>
  <si>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</si>
  <si>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</si>
  <si>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</si>
  <si>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</si>
  <si>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</si>
  <si>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</si>
  <si>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</si>
  <si>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</si>
  <si>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</si>
  <si>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</si>
  <si>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</si>
  <si>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</si>
  <si>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</si>
  <si>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</si>
  <si>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</si>
  <si>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</si>
  <si>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</si>
  <si>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</si>
  <si>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</si>
  <si>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</si>
  <si>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</si>
  <si>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</si>
  <si>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</si>
  <si>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</si>
  <si>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</si>
  <si>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</si>
  <si>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</si>
  <si>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</si>
  <si>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</si>
  <si>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</si>
  <si>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</si>
  <si>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</si>
  <si>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</si>
  <si>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</si>
  <si>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</si>
  <si>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</si>
  <si>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</si>
  <si>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</si>
  <si>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</si>
  <si>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</si>
  <si>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</si>
  <si>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</si>
  <si>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</si>
  <si>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</si>
  <si>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</si>
  <si>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</si>
  <si>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</si>
  <si>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</si>
  <si>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</si>
  <si>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</si>
  <si>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</si>
  <si>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</si>
  <si>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</si>
  <si>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</si>
  <si>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</si>
  <si>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</si>
  <si>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</si>
  <si>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</si>
  <si>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</si>
  <si>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</si>
  <si>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</si>
  <si>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</si>
  <si>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</si>
  <si>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</si>
  <si>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</si>
  <si>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</si>
  <si>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</si>
  <si>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
(split request only in this tracker / one request in UKG)</t>
  </si>
  <si>
    <t>Not sick / BTTB
(split request only in this tracker / one request in UKG)</t>
  </si>
  <si>
    <t>BTTB Main Event Week
(split request only in this tracker / one request in UKG)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</si>
</sst>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67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</cellXfs>
  <cellStyles count="1">
    <cellStyle name="Normal" xfId="0" builtinId="0"/>
  </cellStyles>
  <dxfs count="27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38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8C3E9-F834-4D64-929C-81E8E2BE8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96588" y="233083"/>
          <a:ext cx="2891523" cy="7473669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53071</xdr:colOff>
      <xdr:row>34</xdr:row>
      <xdr:rowOff>58737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27</xdr:row>
      <xdr:rowOff>140563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49</xdr:row>
      <xdr:rowOff>100853</xdr:rowOff>
    </xdr:from>
    <xdr:to>
      <xdr:col>27</xdr:col>
      <xdr:colOff>178175</xdr:colOff>
      <xdr:row>69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20"/>
  <sheetViews>
    <sheetView zoomScale="85" zoomScaleNormal="85" workbookViewId="0">
      <pane ySplit="13" topLeftCell="A14" activePane="bottomLeft" state="frozen"/>
      <selection pane="bottomLeft" activeCell="B14" sqref="B14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192</v>
      </c>
      <c r="D3" s="3">
        <f ca="1">C3-E3</f>
        <v>56</v>
      </c>
      <c r="E3" s="1">
        <f ca="1">C3 - C6 - SUMIF(H14:H19, "PTO", G14:G19)</f>
        <v>136</v>
      </c>
      <c r="K3" s="56" t="str" cm="1">
        <f t="array" aca="1" ref="K3" ca="1">"PTO Reset: 02/12/" &amp; (RIGHT(CELL("filename", A2),LEN(CELL("filename", A2)) - SEARCH("]", CELL("filename", A2))))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32</v>
      </c>
      <c r="D4" s="74"/>
      <c r="E4" s="75"/>
    </row>
    <row r="5" spans="2:12" ht="15.75" thickBot="1">
      <c r="B5" s="6" t="s">
        <v>5</v>
      </c>
      <c r="C5" s="7">
        <f ca="1">C3/8</f>
        <v>24</v>
      </c>
      <c r="D5" s="7">
        <f ca="1">D3/8</f>
        <v>7</v>
      </c>
      <c r="E5" s="8">
        <f ca="1">E3/8</f>
        <v>17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55" t="str">
        <f t="shared" si="0"/>
        <v>Fri</v>
      </c>
      <c r="D16" s="356">
        <v>0.29166666666666669</v>
      </c>
      <c r="E16" s="356">
        <v>0.66666666666666663</v>
      </c>
      <c r="F16" s="357">
        <f>((E16 - D16) * 24)</f>
        <v>8.9999999999999982</v>
      </c>
      <c r="G16" s="355">
        <f>IF(F16 &gt; 4, (F16 - 1), F16)</f>
        <v>7.9999999999999982</v>
      </c>
      <c r="H16" s="358" t="s">
        <v>4</v>
      </c>
      <c r="I16" s="202" t="s">
        <v>28</v>
      </c>
      <c r="J16" s="327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7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9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45" t="s">
        <v>85</v>
      </c>
      <c r="V18" s="346" t="e">
        <f>#REF!+1</f>
        <v>#REF!</v>
      </c>
      <c r="W18" s="347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</sheetData>
  <autoFilter ref="B13:K20" xr:uid="{4B51B8F7-4ACE-45CA-965B-2AD2897F333A}"/>
  <conditionalFormatting sqref="B14:L19">
    <cfRule type="expression" dxfId="26" priority="2">
      <formula>$L14="Passed"</formula>
    </cfRule>
  </conditionalFormatting>
  <conditionalFormatting sqref="C14:F19 L14:L19">
    <cfRule type="cellIs" dxfId="25" priority="3" operator="equal">
      <formula>"TBD"</formula>
    </cfRule>
  </conditionalFormatting>
  <conditionalFormatting sqref="E3 E5">
    <cfRule type="cellIs" dxfId="24" priority="4" operator="greaterThan">
      <formula>0</formula>
    </cfRule>
  </conditionalFormatting>
  <conditionalFormatting sqref="E3 E5:E11">
    <cfRule type="cellIs" dxfId="23" priority="6" operator="lessThanOrEqual">
      <formula>0</formula>
    </cfRule>
  </conditionalFormatting>
  <conditionalFormatting sqref="I14:J19">
    <cfRule type="cellIs" dxfId="22" priority="1" operator="equal">
      <formula>"N/A"</formula>
    </cfRule>
    <cfRule type="cellIs" dxfId="21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P47"/>
  <sheetViews>
    <sheetView tabSelected="1" zoomScale="85" zoomScaleNormal="85" workbookViewId="0">
      <pane ySplit="13" topLeftCell="A14" activePane="bottomLeft" state="frozen"/>
      <selection pane="bottomLeft" activeCell="B36" sqref="B36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4" max="14" width="16.5703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168.5</v>
      </c>
      <c r="E3" s="1">
        <f ca="1">C3 - C6 - SUMIF(H14:H46, "PTO", G14:G46)</f>
        <v>0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21.0625</v>
      </c>
      <c r="E5" s="8">
        <f ca="1">E3/8</f>
        <v>0</v>
      </c>
    </row>
    <row r="6" spans="2:12">
      <c r="B6" s="9" t="s">
        <v>15</v>
      </c>
      <c r="C6" s="10">
        <v>40</v>
      </c>
      <c r="D6" s="10">
        <f>C6-E6</f>
        <v>8</v>
      </c>
      <c r="E6" s="11">
        <f>C6 - SUMIF(H14:H46, "Sick", G14:G46)</f>
        <v>32</v>
      </c>
    </row>
    <row r="7" spans="2:12" ht="15.75" thickBot="1">
      <c r="B7" s="12" t="s">
        <v>16</v>
      </c>
      <c r="C7" s="13">
        <f>C6/8</f>
        <v>5</v>
      </c>
      <c r="D7" s="13">
        <f>D6/8</f>
        <v>1</v>
      </c>
      <c r="E7" s="14">
        <f>E6/8</f>
        <v>4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SUMIF(H14:H46, "Be You", G14:G46)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SUMIF(H14:H46, "Volunteer", G14:G46)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12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>
      <c r="B18" s="270">
        <v>46164</v>
      </c>
      <c r="C18" s="271" t="str">
        <f>IF(ISNUMBER(FIND("?", B18, 1)), "TBD", TEXT(B18, "ddd"))</f>
        <v>Fri</v>
      </c>
      <c r="D18" s="354">
        <v>0.29166666666666669</v>
      </c>
      <c r="E18" s="354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>
      <c r="B19" s="113">
        <v>46168</v>
      </c>
      <c r="C19" s="360" t="str">
        <f>IF(ISNUMBER(FIND("?", B19, 1)), "TBD", TEXT(B19, "ddd"))</f>
        <v>Tue</v>
      </c>
      <c r="D19" s="361">
        <v>0.64583333333333337</v>
      </c>
      <c r="E19" s="361">
        <v>0.66666666666666663</v>
      </c>
      <c r="F19" s="33">
        <f>((E19 - D19) * 24)</f>
        <v>0.49999999999999822</v>
      </c>
      <c r="G19" s="360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 ht="30.75" thickBot="1">
      <c r="B20" s="103">
        <v>46196</v>
      </c>
      <c r="C20" s="362" t="str">
        <f>IF(ISNUMBER(FIND("?", B20, 1)), "TBD", TEXT(B20, "ddd"))</f>
        <v>Tue</v>
      </c>
      <c r="D20" s="363">
        <v>0.29166666666666669</v>
      </c>
      <c r="E20" s="363">
        <v>0.45833333333333331</v>
      </c>
      <c r="F20" s="364">
        <f>((E20 - D20) * 24)</f>
        <v>3.9999999999999991</v>
      </c>
      <c r="G20" s="362">
        <f>IF(F20 &gt; 4, (F20 - 1), F20)</f>
        <v>3.9999999999999991</v>
      </c>
      <c r="H20" s="365" t="s">
        <v>4</v>
      </c>
      <c r="I20" s="196" t="s">
        <v>20</v>
      </c>
      <c r="J20" s="196" t="s">
        <v>20</v>
      </c>
      <c r="K20" s="366" t="s">
        <v>90</v>
      </c>
      <c r="L20" s="42" t="str">
        <f ca="1">IF(C20 = "TBD", "TBD", IF(B20 = "", "IDK!!", IF(TODAY() &gt; B20, "Passed", IF(TODAY() = B20, "Today!!", "Upcoming"))))</f>
        <v>Passed</v>
      </c>
    </row>
    <row r="21" spans="2:12" ht="30.75" thickBot="1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7" t="s">
        <v>20</v>
      </c>
      <c r="J21" s="327" t="s">
        <v>20</v>
      </c>
      <c r="K21" s="366" t="s">
        <v>90</v>
      </c>
      <c r="L21" s="67" t="str">
        <f ca="1">IF(C21 = "TBD", "TBD", IF(B21 = "", "IDK!!", IF(TODAY() &gt; B21, "Passed", IF(TODAY() = B21, "Today!!", "Upcoming"))))</f>
        <v>Passed</v>
      </c>
    </row>
    <row r="22" spans="2:12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Passed</v>
      </c>
    </row>
    <row r="23" spans="2:12">
      <c r="B23" s="337">
        <v>46227</v>
      </c>
      <c r="C23" s="338" t="str">
        <f>IF(ISNUMBER(FIND("?", B23, 1)), "TBD", TEXT(B23, "ddd"))</f>
        <v>Fri</v>
      </c>
      <c r="D23" s="339">
        <v>0.29166666666666669</v>
      </c>
      <c r="E23" s="339">
        <v>0.66666666666666663</v>
      </c>
      <c r="F23" s="221">
        <f>((E23 - D23) * 24)</f>
        <v>8.9999999999999982</v>
      </c>
      <c r="G23" s="338">
        <f>IF(F23 &gt; 4, (F23 - 1), F23)</f>
        <v>7.9999999999999982</v>
      </c>
      <c r="H23" s="340" t="s">
        <v>4</v>
      </c>
      <c r="I23" s="199" t="s">
        <v>20</v>
      </c>
      <c r="J23" s="199" t="s">
        <v>20</v>
      </c>
      <c r="K23" s="341" t="s">
        <v>46</v>
      </c>
      <c r="L23" s="59" t="str">
        <f ca="1">IF(C23 = "TBD", "TBD", IF(B23 = "", "IDK!!", IF(TODAY() &gt; B23, "Passed", IF(TODAY() = B23, "Today!!", "Upcoming"))))</f>
        <v>Passed</v>
      </c>
    </row>
    <row r="24" spans="2:12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9" t="str">
        <f t="shared" ca="1" si="2"/>
        <v>Passed</v>
      </c>
    </row>
    <row r="25" spans="2:12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9" t="str">
        <f t="shared" ca="1" si="2"/>
        <v>Passed</v>
      </c>
    </row>
    <row r="26" spans="2:12" ht="15.75" thickBot="1">
      <c r="B26" s="330">
        <v>46234</v>
      </c>
      <c r="C26" s="331" t="str">
        <f t="shared" ref="C26:C44" si="5">IF(ISNUMBER(FIND("?", B26, 1)), "TBD", TEXT(B26, "ddd"))</f>
        <v>Fri</v>
      </c>
      <c r="D26" s="332">
        <v>0.45833333333333331</v>
      </c>
      <c r="E26" s="332">
        <v>0.66666666666666663</v>
      </c>
      <c r="F26" s="333">
        <f t="shared" ref="F26:F41" si="6">((E26 - D26) * 24)</f>
        <v>5</v>
      </c>
      <c r="G26" s="331">
        <f t="shared" ref="G26:G44" si="7">IF(F26 &gt; 4, (F26 - 1), F26)</f>
        <v>4</v>
      </c>
      <c r="H26" s="334" t="s">
        <v>4</v>
      </c>
      <c r="I26" s="244" t="s">
        <v>20</v>
      </c>
      <c r="J26" s="244" t="s">
        <v>20</v>
      </c>
      <c r="K26" s="335" t="s">
        <v>59</v>
      </c>
      <c r="L26" s="336" t="str">
        <f t="shared" ref="L26:L44" ca="1" si="8">IF(C26 = "TBD", "TBD", IF(B26 = "", "IDK!!", IF(TODAY() &gt; B26, "Passed", IF(TODAY() = B26, "Today!!", "Upcoming"))))</f>
        <v>Passed</v>
      </c>
    </row>
    <row r="27" spans="2:12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Passed</v>
      </c>
    </row>
    <row r="28" spans="2:12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Passed</v>
      </c>
    </row>
    <row r="29" spans="2:12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Passed</v>
      </c>
    </row>
    <row r="30" spans="2:12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Passed</v>
      </c>
    </row>
    <row r="31" spans="2:12" ht="30">
      <c r="B31" s="249">
        <v>46246</v>
      </c>
      <c r="C31" s="245" t="str">
        <f>IF(ISNUMBER(FIND("?", B31, 1)), "TBD", TEXT(B31, "ddd"))</f>
        <v>Wed</v>
      </c>
      <c r="D31" s="246">
        <v>0.29166666666666669</v>
      </c>
      <c r="E31" s="246">
        <v>0.45833333333333331</v>
      </c>
      <c r="F31" s="258">
        <f>((E31 - D31) * 24)</f>
        <v>3.9999999999999991</v>
      </c>
      <c r="G31" s="245">
        <f>IF(F31 &gt; 4, (F31 - 1), F31)</f>
        <v>3.9999999999999991</v>
      </c>
      <c r="H31" s="247" t="s">
        <v>32</v>
      </c>
      <c r="I31" s="199" t="s">
        <v>20</v>
      </c>
      <c r="J31" s="199" t="s">
        <v>20</v>
      </c>
      <c r="K31" s="248" t="s">
        <v>91</v>
      </c>
      <c r="L31" s="59" t="str">
        <f ca="1">IF(C31 = "TBD", "TBD", IF(B31 = "", "IDK!!", IF(TODAY() &gt; B31, "Passed", IF(TODAY() = B31, "Today!!", "Upcoming"))))</f>
        <v>Passed</v>
      </c>
    </row>
    <row r="32" spans="2:12" ht="30">
      <c r="B32" s="249">
        <v>46246</v>
      </c>
      <c r="C32" s="245" t="str">
        <f t="shared" si="5"/>
        <v>Wed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20</v>
      </c>
      <c r="K32" s="248" t="s">
        <v>92</v>
      </c>
      <c r="L32" s="59" t="str">
        <f t="shared" ca="1" si="8"/>
        <v>Passed</v>
      </c>
    </row>
    <row r="33" spans="2:16">
      <c r="B33" s="250">
        <v>46247</v>
      </c>
      <c r="C33" s="245" t="str">
        <f t="shared" si="5"/>
        <v>Thu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Passed</v>
      </c>
    </row>
    <row r="34" spans="2:16">
      <c r="B34" s="250">
        <v>46248</v>
      </c>
      <c r="C34" s="245" t="str">
        <f t="shared" si="5"/>
        <v>Fri</v>
      </c>
      <c r="D34" s="246">
        <v>0.45833333333333331</v>
      </c>
      <c r="E34" s="246">
        <v>0.66666666666666663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39</v>
      </c>
      <c r="L34" s="59" t="str">
        <f t="shared" ca="1" si="8"/>
        <v>Passed</v>
      </c>
    </row>
    <row r="35" spans="2:16" ht="15.75" thickBot="1">
      <c r="B35" s="250">
        <v>46253</v>
      </c>
      <c r="C35" s="245" t="str">
        <f t="shared" si="5"/>
        <v>Wed</v>
      </c>
      <c r="D35" s="246">
        <v>0.29166666666666669</v>
      </c>
      <c r="E35" s="246">
        <v>0.5</v>
      </c>
      <c r="F35" s="258">
        <f t="shared" si="6"/>
        <v>5</v>
      </c>
      <c r="G35" s="245">
        <f t="shared" si="7"/>
        <v>4</v>
      </c>
      <c r="H35" s="247" t="s">
        <v>4</v>
      </c>
      <c r="I35" s="199" t="s">
        <v>20</v>
      </c>
      <c r="J35" s="199" t="s">
        <v>20</v>
      </c>
      <c r="K35" s="248" t="s">
        <v>71</v>
      </c>
      <c r="L35" s="59" t="str">
        <f t="shared" ca="1" si="8"/>
        <v>Passed</v>
      </c>
    </row>
    <row r="36" spans="2:16" ht="15.75" thickBot="1">
      <c r="B36" s="105">
        <v>46269</v>
      </c>
      <c r="C36" s="170" t="str">
        <f t="shared" ref="C36:C38" si="9">IF(ISNUMBER(FIND("?", B36, 1)), "TBD", TEXT(B36, "ddd"))</f>
        <v>Fri</v>
      </c>
      <c r="D36" s="160">
        <v>0.45833333333333331</v>
      </c>
      <c r="E36" s="160">
        <v>0.66666666666666663</v>
      </c>
      <c r="F36" s="224">
        <f t="shared" ref="F36:F38" si="10">((E36 - D36) * 24)</f>
        <v>5</v>
      </c>
      <c r="G36" s="170">
        <f t="shared" ref="G36:G38" si="11">IF(F36 &gt; 4, (F36 - 1), F36)</f>
        <v>4</v>
      </c>
      <c r="H36" s="185" t="s">
        <v>4</v>
      </c>
      <c r="I36" s="196" t="s">
        <v>20</v>
      </c>
      <c r="J36" s="196" t="s">
        <v>20</v>
      </c>
      <c r="K36" s="210" t="s">
        <v>24</v>
      </c>
      <c r="L36" s="42" t="str">
        <f t="shared" ref="L36:L38" ca="1" si="12">IF(C36 = "TBD", "TBD", IF(B36 = "", "IDK!!", IF(TODAY() &gt; B36, "Passed", IF(TODAY() = B36, "Today!!", "Upcoming"))))</f>
        <v>Upcoming</v>
      </c>
    </row>
    <row r="37" spans="2:16" ht="15.75" thickBot="1">
      <c r="B37" s="322">
        <v>46275</v>
      </c>
      <c r="C37" s="323" t="str">
        <f t="shared" si="9"/>
        <v>Thu</v>
      </c>
      <c r="D37" s="324">
        <v>0.41666666666666669</v>
      </c>
      <c r="E37" s="324">
        <v>0.45833333333333331</v>
      </c>
      <c r="F37" s="325">
        <f t="shared" si="10"/>
        <v>0.99999999999999911</v>
      </c>
      <c r="G37" s="323">
        <f t="shared" si="11"/>
        <v>0.99999999999999911</v>
      </c>
      <c r="H37" s="326" t="s">
        <v>4</v>
      </c>
      <c r="I37" s="327" t="s">
        <v>20</v>
      </c>
      <c r="J37" s="327" t="s">
        <v>20</v>
      </c>
      <c r="K37" s="328" t="s">
        <v>72</v>
      </c>
      <c r="L37" s="67" t="str">
        <f t="shared" ca="1" si="12"/>
        <v>Upcoming</v>
      </c>
      <c r="N37" s="342" t="s">
        <v>74</v>
      </c>
      <c r="O37" s="98" t="s">
        <v>75</v>
      </c>
      <c r="P37" s="200" t="s">
        <v>2</v>
      </c>
    </row>
    <row r="38" spans="2:16" ht="15.75" thickBot="1">
      <c r="B38" s="316">
        <v>46275</v>
      </c>
      <c r="C38" s="317" t="str">
        <f t="shared" si="9"/>
        <v>Thu</v>
      </c>
      <c r="D38" s="318">
        <v>0.29166666666666669</v>
      </c>
      <c r="E38" s="318">
        <v>0.41666666666666669</v>
      </c>
      <c r="F38" s="319">
        <f t="shared" si="10"/>
        <v>3</v>
      </c>
      <c r="G38" s="317">
        <f t="shared" si="11"/>
        <v>3</v>
      </c>
      <c r="H38" s="320" t="s">
        <v>10</v>
      </c>
      <c r="I38" s="244" t="s">
        <v>20</v>
      </c>
      <c r="J38" s="244" t="s">
        <v>20</v>
      </c>
      <c r="K38" s="321" t="s">
        <v>72</v>
      </c>
      <c r="L38" s="60" t="str">
        <f t="shared" ca="1" si="12"/>
        <v>Upcoming</v>
      </c>
      <c r="N38" s="348" t="s">
        <v>76</v>
      </c>
      <c r="O38" s="349">
        <v>2024</v>
      </c>
      <c r="P38" s="350">
        <v>160</v>
      </c>
    </row>
    <row r="39" spans="2:16" ht="15.75" thickBot="1">
      <c r="B39" s="124">
        <v>46353</v>
      </c>
      <c r="C39" s="173" t="str">
        <f t="shared" si="5"/>
        <v>Fri</v>
      </c>
      <c r="D39" s="155">
        <v>0.29166666666666669</v>
      </c>
      <c r="E39" s="155">
        <v>0.66666666666666663</v>
      </c>
      <c r="F39" s="226">
        <f t="shared" si="6"/>
        <v>8.9999999999999982</v>
      </c>
      <c r="G39" s="173">
        <f t="shared" si="7"/>
        <v>7.9999999999999982</v>
      </c>
      <c r="H39" s="188" t="s">
        <v>4</v>
      </c>
      <c r="I39" s="200" t="s">
        <v>20</v>
      </c>
      <c r="J39" s="200" t="s">
        <v>20</v>
      </c>
      <c r="K39" s="269" t="s">
        <v>14</v>
      </c>
      <c r="L39" s="192" t="str">
        <f t="shared" ca="1" si="8"/>
        <v>Upcoming</v>
      </c>
      <c r="N39" s="351" t="s">
        <v>77</v>
      </c>
      <c r="O39" s="352">
        <f>O38+1</f>
        <v>2025</v>
      </c>
      <c r="P39" s="353">
        <v>160</v>
      </c>
    </row>
    <row r="40" spans="2:16">
      <c r="B40" s="112">
        <v>46380</v>
      </c>
      <c r="C40" s="264" t="str">
        <f t="shared" si="5"/>
        <v>Thu</v>
      </c>
      <c r="D40" s="262">
        <v>0.29166666666666669</v>
      </c>
      <c r="E40" s="262">
        <v>0.66666666666666663</v>
      </c>
      <c r="F40" s="263">
        <f t="shared" si="6"/>
        <v>8.9999999999999982</v>
      </c>
      <c r="G40" s="264">
        <f t="shared" si="7"/>
        <v>7.9999999999999982</v>
      </c>
      <c r="H40" s="265" t="s">
        <v>4</v>
      </c>
      <c r="I40" s="196" t="s">
        <v>20</v>
      </c>
      <c r="J40" s="196" t="s">
        <v>20</v>
      </c>
      <c r="K40" s="266" t="s">
        <v>60</v>
      </c>
      <c r="L40" s="42" t="str">
        <f t="shared" ca="1" si="8"/>
        <v>Upcoming</v>
      </c>
      <c r="N40" s="343" t="s">
        <v>78</v>
      </c>
      <c r="O40" s="70">
        <f>O39+1</f>
        <v>2026</v>
      </c>
      <c r="P40" s="344">
        <v>160</v>
      </c>
    </row>
    <row r="41" spans="2:16">
      <c r="B41" s="120">
        <v>46384</v>
      </c>
      <c r="C41" s="274" t="str">
        <f t="shared" si="5"/>
        <v>Mon</v>
      </c>
      <c r="D41" s="275">
        <v>0.29166666666666669</v>
      </c>
      <c r="E41" s="275">
        <v>0.66666666666666663</v>
      </c>
      <c r="F41" s="276">
        <f t="shared" si="6"/>
        <v>8.9999999999999982</v>
      </c>
      <c r="G41" s="274">
        <f t="shared" si="7"/>
        <v>7.9999999999999982</v>
      </c>
      <c r="H41" s="277" t="s">
        <v>4</v>
      </c>
      <c r="I41" s="199" t="s">
        <v>20</v>
      </c>
      <c r="J41" s="199" t="s">
        <v>20</v>
      </c>
      <c r="K41" s="278" t="s">
        <v>60</v>
      </c>
      <c r="L41" s="59" t="str">
        <f t="shared" ca="1" si="8"/>
        <v>Upcoming</v>
      </c>
      <c r="N41" s="343" t="s">
        <v>79</v>
      </c>
      <c r="O41" s="70">
        <f t="shared" ref="O41:O47" si="13">O40+1</f>
        <v>2027</v>
      </c>
      <c r="P41" s="344">
        <v>160</v>
      </c>
    </row>
    <row r="42" spans="2:16">
      <c r="B42" s="270">
        <v>46385</v>
      </c>
      <c r="C42" s="271" t="str">
        <f t="shared" si="5"/>
        <v>Tue</v>
      </c>
      <c r="D42" s="275">
        <v>0.29166666666666669</v>
      </c>
      <c r="E42" s="275">
        <v>0.66666666666666663</v>
      </c>
      <c r="F42" s="276">
        <f t="shared" ref="F42:F44" si="14">((E42 - D42) * 24)</f>
        <v>8.9999999999999982</v>
      </c>
      <c r="G42" s="274">
        <f t="shared" si="7"/>
        <v>7.9999999999999982</v>
      </c>
      <c r="H42" s="272" t="s">
        <v>4</v>
      </c>
      <c r="I42" s="198" t="s">
        <v>20</v>
      </c>
      <c r="J42" s="198" t="s">
        <v>20</v>
      </c>
      <c r="K42" s="273" t="s">
        <v>60</v>
      </c>
      <c r="L42" s="193" t="str">
        <f t="shared" ca="1" si="8"/>
        <v>Upcoming</v>
      </c>
      <c r="N42" s="343" t="s">
        <v>80</v>
      </c>
      <c r="O42" s="70">
        <f t="shared" si="13"/>
        <v>2028</v>
      </c>
      <c r="P42" s="344">
        <v>176</v>
      </c>
    </row>
    <row r="43" spans="2:16">
      <c r="B43" s="270">
        <v>46386</v>
      </c>
      <c r="C43" s="271" t="str">
        <f t="shared" si="5"/>
        <v>Wed</v>
      </c>
      <c r="D43" s="275">
        <v>0.29166666666666669</v>
      </c>
      <c r="E43" s="275">
        <v>0.66666666666666663</v>
      </c>
      <c r="F43" s="276">
        <f t="shared" si="14"/>
        <v>8.9999999999999982</v>
      </c>
      <c r="G43" s="274">
        <f t="shared" si="7"/>
        <v>7.9999999999999982</v>
      </c>
      <c r="H43" s="272" t="s">
        <v>4</v>
      </c>
      <c r="I43" s="198" t="s">
        <v>20</v>
      </c>
      <c r="J43" s="198" t="s">
        <v>20</v>
      </c>
      <c r="K43" s="273" t="s">
        <v>60</v>
      </c>
      <c r="L43" s="193" t="str">
        <f t="shared" ca="1" si="8"/>
        <v>Upcoming</v>
      </c>
      <c r="N43" s="343" t="s">
        <v>81</v>
      </c>
      <c r="O43" s="70">
        <f t="shared" si="13"/>
        <v>2029</v>
      </c>
      <c r="P43" s="344">
        <v>176</v>
      </c>
    </row>
    <row r="44" spans="2:16" ht="15.75" thickBot="1">
      <c r="B44" s="113">
        <v>46387</v>
      </c>
      <c r="C44" s="271" t="str">
        <f t="shared" si="5"/>
        <v>Thu</v>
      </c>
      <c r="D44" s="275">
        <v>0.29166666666666669</v>
      </c>
      <c r="E44" s="275">
        <v>0.66666666666666663</v>
      </c>
      <c r="F44" s="276">
        <f t="shared" si="14"/>
        <v>8.9999999999999982</v>
      </c>
      <c r="G44" s="274">
        <f t="shared" si="7"/>
        <v>7.9999999999999982</v>
      </c>
      <c r="H44" s="267" t="s">
        <v>4</v>
      </c>
      <c r="I44" s="244" t="s">
        <v>20</v>
      </c>
      <c r="J44" s="244" t="s">
        <v>20</v>
      </c>
      <c r="K44" s="268" t="s">
        <v>60</v>
      </c>
      <c r="L44" s="193" t="str">
        <f t="shared" ca="1" si="8"/>
        <v>Upcoming</v>
      </c>
      <c r="N44" s="343" t="s">
        <v>82</v>
      </c>
      <c r="O44" s="70">
        <f t="shared" si="13"/>
        <v>2030</v>
      </c>
      <c r="P44" s="344">
        <v>176</v>
      </c>
    </row>
    <row r="45" spans="2:16">
      <c r="B45" s="102"/>
      <c r="C45" s="165" t="str">
        <f t="shared" ref="C45:C46" si="15">IF(ISNUMBER(FIND("?", B45, 1)), "TBD", TEXT(B45, "ddd"))</f>
        <v>Sat</v>
      </c>
      <c r="D45" s="157"/>
      <c r="E45" s="157"/>
      <c r="F45" s="220">
        <f t="shared" ref="F45:F46" si="16">((E45 - D45) * 24)</f>
        <v>0</v>
      </c>
      <c r="G45" s="217">
        <f t="shared" ref="G45:G46" si="17">IF(F45 &gt; 4, (F45 - 1), F45)</f>
        <v>0</v>
      </c>
      <c r="H45" s="180"/>
      <c r="I45" s="197" t="s">
        <v>66</v>
      </c>
      <c r="J45" s="197" t="s">
        <v>66</v>
      </c>
      <c r="K45" s="205"/>
      <c r="L45" s="252" t="str">
        <f t="shared" ref="L45:L46" ca="1" si="18">IF(C45 = "TBD", "TBD", IF(B45 = "", "IDK!!", IF(TODAY() &gt; B45, "Passed", IF(TODAY() = B45, "Today!!", "Upcoming"))))</f>
        <v>IDK!!</v>
      </c>
      <c r="N45" s="343" t="s">
        <v>83</v>
      </c>
      <c r="O45" s="70">
        <f t="shared" si="13"/>
        <v>2031</v>
      </c>
      <c r="P45" s="344">
        <v>176</v>
      </c>
    </row>
    <row r="46" spans="2:16" ht="15.75" thickBot="1">
      <c r="B46" s="259"/>
      <c r="C46" s="253" t="str">
        <f t="shared" si="15"/>
        <v>Sat</v>
      </c>
      <c r="D46" s="260"/>
      <c r="E46" s="260"/>
      <c r="F46" s="261">
        <f t="shared" si="16"/>
        <v>0</v>
      </c>
      <c r="G46" s="253">
        <f t="shared" si="17"/>
        <v>0</v>
      </c>
      <c r="H46" s="254"/>
      <c r="I46" s="202" t="s">
        <v>66</v>
      </c>
      <c r="J46" s="202" t="s">
        <v>66</v>
      </c>
      <c r="K46" s="255"/>
      <c r="L46" s="251" t="str">
        <f t="shared" ca="1" si="18"/>
        <v>IDK!!</v>
      </c>
      <c r="N46" s="343" t="s">
        <v>84</v>
      </c>
      <c r="O46" s="70">
        <f t="shared" si="13"/>
        <v>2032</v>
      </c>
      <c r="P46" s="344">
        <v>176</v>
      </c>
    </row>
    <row r="47" spans="2:16" ht="15.75" thickBot="1">
      <c r="B47" s="86" t="s">
        <v>11</v>
      </c>
      <c r="C47" s="303"/>
      <c r="D47" s="304"/>
      <c r="E47" s="305"/>
      <c r="F47" s="228">
        <f>SUM(F14:F46)</f>
        <v>175.5</v>
      </c>
      <c r="G47" s="256">
        <f>SUM(G14:G46)</f>
        <v>152.5</v>
      </c>
      <c r="H47" s="301"/>
      <c r="I47" s="302"/>
      <c r="J47" s="302"/>
      <c r="K47" s="302"/>
      <c r="L47" s="302"/>
      <c r="N47" s="345" t="s">
        <v>85</v>
      </c>
      <c r="O47" s="346">
        <f t="shared" si="13"/>
        <v>2033</v>
      </c>
      <c r="P47" s="347">
        <f>192 + 10</f>
        <v>202</v>
      </c>
    </row>
  </sheetData>
  <autoFilter ref="B13:K47" xr:uid="{4B51B8F7-4ACE-45CA-965B-2AD2897F333A}"/>
  <phoneticPr fontId="5" type="noConversion"/>
  <conditionalFormatting sqref="B14:L46">
    <cfRule type="expression" dxfId="20" priority="2">
      <formula>$L14="Passed"</formula>
    </cfRule>
  </conditionalFormatting>
  <conditionalFormatting sqref="C14:F46 L14:L46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6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2026-09-03T13:20:04Z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