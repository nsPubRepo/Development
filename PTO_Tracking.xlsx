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188079D1-5DC8-4EE2-BFC5-BA8BE7E0C17C}" xr6:coauthVersionLast="47" xr6:coauthVersionMax="47" xr10:uidLastSave="{00000000-0000-0000-0000-000000000000}"/>
  <bookViews>
    <workbookView xWindow="1200" yWindow="420" windowWidth="32970" windowHeight="1873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'2026'!$B$13:$L$43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7" l="1"/>
  <c r="C18" i="7"/>
  <c r="W41" i="7"/>
  <c r="V33" i="7"/>
  <c r="V34" i="7" s="1"/>
  <c r="V35" i="7" s="1"/>
  <c r="V36" i="7" s="1"/>
  <c r="V37" i="7" s="1"/>
  <c r="V38" i="7" s="1"/>
  <c r="V39" i="7" s="1"/>
  <c r="V40" i="7" s="1"/>
  <c r="V41" i="7" s="1"/>
  <c r="F17" i="7"/>
  <c r="G17" i="7" s="1"/>
  <c r="C17" i="7"/>
  <c r="L17" i="7" s="1"/>
  <c r="F20" i="7"/>
  <c r="G20" i="7" s="1"/>
  <c r="C20" i="7"/>
  <c r="L20" i="7" s="1"/>
  <c r="F33" i="7"/>
  <c r="G33" i="7" s="1"/>
  <c r="C33" i="7"/>
  <c r="L33" i="7" s="1"/>
  <c r="F34" i="7"/>
  <c r="G34" i="7" s="1"/>
  <c r="C34" i="7"/>
  <c r="L34" i="7" s="1"/>
  <c r="F31" i="7"/>
  <c r="G31" i="7" s="1"/>
  <c r="C31" i="7"/>
  <c r="L31" i="7" s="1"/>
  <c r="C16" i="7"/>
  <c r="L16" i="7" s="1"/>
  <c r="F16" i="7"/>
  <c r="G16" i="7" s="1"/>
  <c r="F15" i="7"/>
  <c r="G15" i="7" s="1"/>
  <c r="C15" i="7"/>
  <c r="L15" i="7" s="1"/>
  <c r="F18" i="7"/>
  <c r="G18" i="7" s="1"/>
  <c r="C19" i="7"/>
  <c r="F19" i="7"/>
  <c r="G19" i="7" s="1"/>
  <c r="F21" i="7"/>
  <c r="G21" i="7" s="1"/>
  <c r="C22" i="7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5" i="7"/>
  <c r="F35" i="7"/>
  <c r="G35" i="7" s="1"/>
  <c r="C36" i="7"/>
  <c r="F36" i="7"/>
  <c r="G36" i="7" s="1"/>
  <c r="C37" i="7"/>
  <c r="F37" i="7"/>
  <c r="G37" i="7" s="1"/>
  <c r="C38" i="7"/>
  <c r="F38" i="7"/>
  <c r="G38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F14" i="7" l="1"/>
  <c r="C14" i="7"/>
  <c r="L14" i="7" s="1"/>
  <c r="L32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43" i="7"/>
  <c r="E10" i="7"/>
  <c r="E11" i="7" s="1"/>
  <c r="L19" i="7"/>
  <c r="L37" i="7"/>
  <c r="L39" i="7"/>
  <c r="L40" i="7"/>
  <c r="L38" i="7"/>
  <c r="L36" i="7"/>
  <c r="L35" i="7"/>
  <c r="L23" i="7"/>
  <c r="L24" i="7"/>
  <c r="L25" i="7"/>
  <c r="L26" i="7"/>
  <c r="L27" i="7"/>
  <c r="L28" i="7"/>
  <c r="L29" i="7"/>
  <c r="L30" i="7"/>
  <c r="L22" i="7"/>
  <c r="L21" i="7"/>
  <c r="L42" i="7"/>
  <c r="L41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3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<sst xmlns="http://schemas.openxmlformats.org/spreadsheetml/2006/main" count="522" uniqueCount="88">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</sst>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0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6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65" fontId="0" fillId="2" borderId="18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18" fontId="0" fillId="2" borderId="13" xfId="0" applyNumberFormat="1" applyFill="1" applyBorder="1" applyAlignment="1">
      <alignment horizontal="center"/>
    </xf>
    <xf numFmtId="0" fontId="0" fillId="2" borderId="58" xfId="0" applyFill="1" applyBorder="1" applyAlignment="1">
      <alignment horizontal="center"/>
    </xf>
    <xf numFmtId="0" fontId="0" fillId="2" borderId="4" xfId="0" applyFill="1" applyBorder="1" applyAlignment="1">
      <alignment horizontal="center" wrapText="1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37</xdr:row>
      <xdr:rowOff>182002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84535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45</xdr:row>
      <xdr:rowOff>100853</xdr:rowOff>
    </xdr:from>
    <xdr:to>
      <xdr:col>27</xdr:col>
      <xdr:colOff>178174</xdr:colOff>
      <xdr:row>65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W43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164.5</v>
      </c>
      <c r="E3" s="1">
        <f ca="1">C3 - C6 - SUMIF(H14:H42, "PTO", G14:G42)</f>
        <v>4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20.5625</v>
      </c>
      <c r="E5" s="8">
        <f ca="1">E3/8</f>
        <v>0.5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SUMIF(H14:H42, "Sick", G14:G42)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SUMIF(H14:H42, "Be You", G14:G42)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SUMIF(H14:H42, "Volunteer", G14:G42)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2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2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2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23">
      <c r="B17" s="112">
        <v>46150</v>
      </c>
      <c r="C17" s="264" t="str">
        <f>IF(ISNUMBER(FIND("?", B17, 1)), "TBD", TEXT(B17, "ddd"))</f>
        <v>Fri</v>
      </c>
      <c r="D17" s="262">
        <v>0.29166666666666669</v>
      </c>
      <c r="E17" s="262">
        <v>0.66666666666666663</v>
      </c>
      <c r="F17" s="40">
        <f>((E17 - D17) * 24)</f>
        <v>8.9999999999999982</v>
      </c>
      <c r="G17" s="264">
        <f>IF(F17 &gt; 4, (F17 - 1), F17)</f>
        <v>7.9999999999999982</v>
      </c>
      <c r="H17" s="265" t="s">
        <v>4</v>
      </c>
      <c r="I17" s="196" t="s">
        <v>20</v>
      </c>
      <c r="J17" s="196" t="s">
        <v>20</v>
      </c>
      <c r="K17" s="266" t="s">
        <v>73</v>
      </c>
      <c r="L17" s="42" t="str">
        <f ca="1">IF(C17 = "TBD", "TBD", IF(B17 = "", "IDK!!", IF(TODAY() &gt; B17, "Passed", IF(TODAY() = B17, "Today!!", "Upcoming"))))</f>
        <v>Passed</v>
      </c>
    </row>
    <row r="18" spans="2:23" ht="15.75" thickBot="1">
      <c r="B18" s="355">
        <v>46164</v>
      </c>
      <c r="C18" s="356" t="str">
        <f>IF(ISNUMBER(FIND("?", B18, 1)), "TBD", TEXT(B18, "ddd"))</f>
        <v>Fri</v>
      </c>
      <c r="D18" s="357">
        <v>0.29166666666666669</v>
      </c>
      <c r="E18" s="357">
        <v>0.66666666666666663</v>
      </c>
      <c r="F18" s="342">
        <f t="shared" ref="F18:F22" si="4">((E18 - D18) * 24)</f>
        <v>8.9999999999999982</v>
      </c>
      <c r="G18" s="356">
        <f t="shared" si="1"/>
        <v>7.9999999999999982</v>
      </c>
      <c r="H18" s="358" t="s">
        <v>4</v>
      </c>
      <c r="I18" s="201" t="s">
        <v>20</v>
      </c>
      <c r="J18" s="201" t="s">
        <v>20</v>
      </c>
      <c r="K18" s="359" t="s">
        <v>86</v>
      </c>
      <c r="L18" s="194" t="str">
        <f t="shared" ca="1" si="2"/>
        <v>Upcoming</v>
      </c>
    </row>
    <row r="19" spans="2:23">
      <c r="B19" s="279">
        <v>46226</v>
      </c>
      <c r="C19" s="217" t="str">
        <f t="shared" si="0"/>
        <v>Thu</v>
      </c>
      <c r="D19" s="157">
        <v>0.45833333333333331</v>
      </c>
      <c r="E19" s="157">
        <v>0.66666666666666663</v>
      </c>
      <c r="F19" s="220">
        <f t="shared" si="4"/>
        <v>5</v>
      </c>
      <c r="G19" s="217">
        <f t="shared" si="1"/>
        <v>4</v>
      </c>
      <c r="H19" s="280" t="s">
        <v>4</v>
      </c>
      <c r="I19" s="196" t="s">
        <v>20</v>
      </c>
      <c r="J19" s="196" t="s">
        <v>20</v>
      </c>
      <c r="K19" s="281" t="s">
        <v>46</v>
      </c>
      <c r="L19" s="42" t="str">
        <f t="shared" ca="1" si="2"/>
        <v>Upcoming</v>
      </c>
    </row>
    <row r="20" spans="2:23">
      <c r="B20" s="337">
        <v>46227</v>
      </c>
      <c r="C20" s="338" t="str">
        <f>IF(ISNUMBER(FIND("?", B20, 1)), "TBD", TEXT(B20, "ddd"))</f>
        <v>Fri</v>
      </c>
      <c r="D20" s="339">
        <v>0.29166666666666669</v>
      </c>
      <c r="E20" s="339">
        <v>0.66666666666666663</v>
      </c>
      <c r="F20" s="221">
        <f>((E20 - D20) * 24)</f>
        <v>8.9999999999999982</v>
      </c>
      <c r="G20" s="338">
        <f>IF(F20 &gt; 4, (F20 - 1), F20)</f>
        <v>7.9999999999999982</v>
      </c>
      <c r="H20" s="340" t="s">
        <v>4</v>
      </c>
      <c r="I20" s="199" t="s">
        <v>20</v>
      </c>
      <c r="J20" s="199" t="s">
        <v>20</v>
      </c>
      <c r="K20" s="341" t="s">
        <v>46</v>
      </c>
      <c r="L20" s="59" t="str">
        <f ca="1">IF(C20 = "TBD", "TBD", IF(B20 = "", "IDK!!", IF(TODAY() &gt; B20, "Passed", IF(TODAY() = B20, "Today!!", "Upcoming"))))</f>
        <v>Upcoming</v>
      </c>
    </row>
    <row r="21" spans="2:23">
      <c r="B21" s="140">
        <v>46232</v>
      </c>
      <c r="C21" s="166" t="str">
        <f>IF(ISNUMBER(FIND("?", B21, 1)), "TBD", TEXT(B21, "ddd"))</f>
        <v>Wed</v>
      </c>
      <c r="D21" s="158">
        <v>0.52083333333333337</v>
      </c>
      <c r="E21" s="158">
        <v>0.66666666666666663</v>
      </c>
      <c r="F21" s="221">
        <f t="shared" si="4"/>
        <v>3.4999999999999982</v>
      </c>
      <c r="G21" s="166">
        <f t="shared" si="1"/>
        <v>3.4999999999999982</v>
      </c>
      <c r="H21" s="181" t="s">
        <v>4</v>
      </c>
      <c r="I21" s="198" t="s">
        <v>20</v>
      </c>
      <c r="J21" s="198" t="s">
        <v>20</v>
      </c>
      <c r="K21" s="206" t="s">
        <v>59</v>
      </c>
      <c r="L21" s="329" t="str">
        <f t="shared" ca="1" si="2"/>
        <v>Upcoming</v>
      </c>
    </row>
    <row r="22" spans="2:23">
      <c r="B22" s="140">
        <v>46233</v>
      </c>
      <c r="C22" s="166" t="str">
        <f t="shared" si="0"/>
        <v>Thu</v>
      </c>
      <c r="D22" s="158">
        <v>0.45833333333333331</v>
      </c>
      <c r="E22" s="158">
        <v>0.66666666666666663</v>
      </c>
      <c r="F22" s="221">
        <f t="shared" si="4"/>
        <v>5</v>
      </c>
      <c r="G22" s="166">
        <f t="shared" si="1"/>
        <v>4</v>
      </c>
      <c r="H22" s="181" t="s">
        <v>4</v>
      </c>
      <c r="I22" s="198" t="s">
        <v>20</v>
      </c>
      <c r="J22" s="198" t="s">
        <v>20</v>
      </c>
      <c r="K22" s="206" t="s">
        <v>59</v>
      </c>
      <c r="L22" s="329" t="str">
        <f t="shared" ca="1" si="2"/>
        <v>Upcoming</v>
      </c>
    </row>
    <row r="23" spans="2:23" ht="15.75" thickBot="1">
      <c r="B23" s="330">
        <v>46234</v>
      </c>
      <c r="C23" s="331" t="str">
        <f t="shared" ref="C23:C40" si="5">IF(ISNUMBER(FIND("?", B23, 1)), "TBD", TEXT(B23, "ddd"))</f>
        <v>Fri</v>
      </c>
      <c r="D23" s="332">
        <v>0.45833333333333331</v>
      </c>
      <c r="E23" s="332">
        <v>0.66666666666666663</v>
      </c>
      <c r="F23" s="333">
        <f t="shared" ref="F23:F37" si="6">((E23 - D23) * 24)</f>
        <v>5</v>
      </c>
      <c r="G23" s="331">
        <f t="shared" ref="G23:G40" si="7">IF(F23 &gt; 4, (F23 - 1), F23)</f>
        <v>4</v>
      </c>
      <c r="H23" s="334" t="s">
        <v>4</v>
      </c>
      <c r="I23" s="244" t="s">
        <v>20</v>
      </c>
      <c r="J23" s="244" t="s">
        <v>20</v>
      </c>
      <c r="K23" s="335" t="s">
        <v>59</v>
      </c>
      <c r="L23" s="336" t="str">
        <f t="shared" ref="L23:L40" ca="1" si="8">IF(C23 = "TBD", "TBD", IF(B23 = "", "IDK!!", IF(TODAY() &gt; B23, "Passed", IF(TODAY() = B23, "Today!!", "Upcoming"))))</f>
        <v>Upcoming</v>
      </c>
    </row>
    <row r="24" spans="2:23">
      <c r="B24" s="123">
        <v>46240</v>
      </c>
      <c r="C24" s="245" t="str">
        <f t="shared" si="5"/>
        <v>Thu</v>
      </c>
      <c r="D24" s="246">
        <v>0.45833333333333331</v>
      </c>
      <c r="E24" s="246">
        <v>0.66666666666666663</v>
      </c>
      <c r="F24" s="258">
        <f t="shared" si="6"/>
        <v>5</v>
      </c>
      <c r="G24" s="245">
        <f t="shared" si="7"/>
        <v>4</v>
      </c>
      <c r="H24" s="247" t="s">
        <v>4</v>
      </c>
      <c r="I24" s="199" t="s">
        <v>20</v>
      </c>
      <c r="J24" s="199" t="s">
        <v>20</v>
      </c>
      <c r="K24" s="248" t="s">
        <v>59</v>
      </c>
      <c r="L24" s="59" t="str">
        <f t="shared" ca="1" si="8"/>
        <v>Upcoming</v>
      </c>
    </row>
    <row r="25" spans="2:23" ht="15.75" thickBot="1">
      <c r="B25" s="249">
        <v>46241</v>
      </c>
      <c r="C25" s="245" t="str">
        <f t="shared" si="5"/>
        <v>Fri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199" t="s">
        <v>20</v>
      </c>
      <c r="K25" s="248" t="s">
        <v>59</v>
      </c>
      <c r="L25" s="59" t="str">
        <f t="shared" ca="1" si="8"/>
        <v>Upcoming</v>
      </c>
    </row>
    <row r="26" spans="2:23" ht="15.75" thickBot="1">
      <c r="B26" s="249">
        <v>46244</v>
      </c>
      <c r="C26" s="245" t="str">
        <f t="shared" si="5"/>
        <v>Mon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199" t="s">
        <v>20</v>
      </c>
      <c r="K26" s="248" t="s">
        <v>39</v>
      </c>
      <c r="L26" s="59" t="str">
        <f t="shared" ca="1" si="8"/>
        <v>Upcoming</v>
      </c>
    </row>
    <row r="27" spans="2:23" ht="15.75" thickBot="1">
      <c r="B27" s="249">
        <v>46245</v>
      </c>
      <c r="C27" s="245" t="str">
        <f t="shared" si="5"/>
        <v>Tue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39</v>
      </c>
      <c r="L27" s="59" t="str">
        <f t="shared" ca="1" si="8"/>
        <v>Upcoming</v>
      </c>
    </row>
    <row r="28" spans="2:23" ht="15.75" thickBot="1">
      <c r="B28" s="249">
        <v>46246</v>
      </c>
      <c r="C28" s="245" t="str">
        <f t="shared" si="5"/>
        <v>Wed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39</v>
      </c>
      <c r="L28" s="59" t="str">
        <f t="shared" ca="1" si="8"/>
        <v>Upcoming</v>
      </c>
    </row>
    <row r="29" spans="2:23" ht="15.75" thickBot="1">
      <c r="B29" s="250">
        <v>46247</v>
      </c>
      <c r="C29" s="245" t="str">
        <f t="shared" si="5"/>
        <v>Thu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Upcoming</v>
      </c>
    </row>
    <row r="30" spans="2:23" ht="15.75" thickBot="1">
      <c r="B30" s="250">
        <v>46248</v>
      </c>
      <c r="C30" s="245" t="str">
        <f t="shared" si="5"/>
        <v>Fri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Upcoming</v>
      </c>
    </row>
    <row r="31" spans="2:23" ht="15.75" thickBot="1">
      <c r="B31" s="250">
        <v>46253</v>
      </c>
      <c r="C31" s="245" t="str">
        <f t="shared" si="5"/>
        <v>Wed</v>
      </c>
      <c r="D31" s="246">
        <v>0.29166666666666669</v>
      </c>
      <c r="E31" s="246">
        <v>0.5</v>
      </c>
      <c r="F31" s="258">
        <f t="shared" si="6"/>
        <v>5</v>
      </c>
      <c r="G31" s="245">
        <f t="shared" si="7"/>
        <v>4</v>
      </c>
      <c r="H31" s="247" t="s">
        <v>4</v>
      </c>
      <c r="I31" s="199" t="s">
        <v>20</v>
      </c>
      <c r="J31" s="199" t="s">
        <v>20</v>
      </c>
      <c r="K31" s="248" t="s">
        <v>71</v>
      </c>
      <c r="L31" s="59" t="str">
        <f t="shared" ca="1" si="8"/>
        <v>Upcoming</v>
      </c>
      <c r="U31" s="343" t="s">
        <v>74</v>
      </c>
      <c r="V31" s="98" t="s">
        <v>75</v>
      </c>
      <c r="W31" s="200" t="s">
        <v>2</v>
      </c>
    </row>
    <row r="32" spans="2:23">
      <c r="B32" s="105">
        <v>46269</v>
      </c>
      <c r="C32" s="170" t="str">
        <f t="shared" ref="C32:C34" si="9">IF(ISNUMBER(FIND("?", B32, 1)), "TBD", TEXT(B32, "ddd"))</f>
        <v>Fri</v>
      </c>
      <c r="D32" s="160">
        <v>0.45833333333333331</v>
      </c>
      <c r="E32" s="160">
        <v>0.66666666666666663</v>
      </c>
      <c r="F32" s="224">
        <f t="shared" ref="F32:F34" si="10">((E32 - D32) * 24)</f>
        <v>5</v>
      </c>
      <c r="G32" s="170">
        <f t="shared" ref="G32:G34" si="11">IF(F32 &gt; 4, (F32 - 1), F32)</f>
        <v>4</v>
      </c>
      <c r="H32" s="185" t="s">
        <v>4</v>
      </c>
      <c r="I32" s="196" t="s">
        <v>20</v>
      </c>
      <c r="J32" s="196" t="s">
        <v>20</v>
      </c>
      <c r="K32" s="210" t="s">
        <v>24</v>
      </c>
      <c r="L32" s="42" t="str">
        <f t="shared" ref="L32:L34" ca="1" si="12">IF(C32 = "TBD", "TBD", IF(B32 = "", "IDK!!", IF(TODAY() &gt; B32, "Passed", IF(TODAY() = B32, "Today!!", "Upcoming"))))</f>
        <v>Upcoming</v>
      </c>
      <c r="U32" s="349" t="s">
        <v>76</v>
      </c>
      <c r="V32" s="350">
        <v>2024</v>
      </c>
      <c r="W32" s="351">
        <v>160</v>
      </c>
    </row>
    <row r="33" spans="2:23">
      <c r="B33" s="322">
        <v>46275</v>
      </c>
      <c r="C33" s="323" t="str">
        <f t="shared" si="9"/>
        <v>Thu</v>
      </c>
      <c r="D33" s="324">
        <v>0.41666666666666669</v>
      </c>
      <c r="E33" s="324">
        <v>0.45833333333333331</v>
      </c>
      <c r="F33" s="325">
        <f t="shared" si="10"/>
        <v>0.99999999999999911</v>
      </c>
      <c r="G33" s="323">
        <f t="shared" si="11"/>
        <v>0.99999999999999911</v>
      </c>
      <c r="H33" s="326" t="s">
        <v>4</v>
      </c>
      <c r="I33" s="327" t="s">
        <v>20</v>
      </c>
      <c r="J33" s="327" t="s">
        <v>20</v>
      </c>
      <c r="K33" s="328" t="s">
        <v>72</v>
      </c>
      <c r="L33" s="67" t="str">
        <f t="shared" ca="1" si="12"/>
        <v>Upcoming</v>
      </c>
      <c r="U33" s="352" t="s">
        <v>77</v>
      </c>
      <c r="V33" s="353">
        <f>V32+1</f>
        <v>2025</v>
      </c>
      <c r="W33" s="354">
        <v>160</v>
      </c>
    </row>
    <row r="34" spans="2:23" ht="15.75" thickBot="1">
      <c r="B34" s="316">
        <v>46275</v>
      </c>
      <c r="C34" s="317" t="str">
        <f t="shared" si="9"/>
        <v>Thu</v>
      </c>
      <c r="D34" s="318">
        <v>0.29166666666666669</v>
      </c>
      <c r="E34" s="318">
        <v>0.41666666666666669</v>
      </c>
      <c r="F34" s="319">
        <f t="shared" si="10"/>
        <v>3</v>
      </c>
      <c r="G34" s="317">
        <f t="shared" si="11"/>
        <v>3</v>
      </c>
      <c r="H34" s="320" t="s">
        <v>10</v>
      </c>
      <c r="I34" s="244" t="s">
        <v>20</v>
      </c>
      <c r="J34" s="244" t="s">
        <v>20</v>
      </c>
      <c r="K34" s="321" t="s">
        <v>72</v>
      </c>
      <c r="L34" s="60" t="str">
        <f t="shared" ca="1" si="12"/>
        <v>Upcoming</v>
      </c>
      <c r="U34" s="344" t="s">
        <v>78</v>
      </c>
      <c r="V34" s="70">
        <f>V33+1</f>
        <v>2026</v>
      </c>
      <c r="W34" s="345">
        <v>160</v>
      </c>
    </row>
    <row r="35" spans="2:23" ht="15.75" thickBot="1">
      <c r="B35" s="124">
        <v>46353</v>
      </c>
      <c r="C35" s="173" t="str">
        <f t="shared" si="5"/>
        <v>Fri</v>
      </c>
      <c r="D35" s="155">
        <v>0.29166666666666669</v>
      </c>
      <c r="E35" s="155">
        <v>0.66666666666666663</v>
      </c>
      <c r="F35" s="226">
        <f t="shared" si="6"/>
        <v>8.9999999999999982</v>
      </c>
      <c r="G35" s="173">
        <f t="shared" si="7"/>
        <v>7.9999999999999982</v>
      </c>
      <c r="H35" s="188" t="s">
        <v>4</v>
      </c>
      <c r="I35" s="200" t="s">
        <v>20</v>
      </c>
      <c r="J35" s="200" t="s">
        <v>20</v>
      </c>
      <c r="K35" s="269" t="s">
        <v>14</v>
      </c>
      <c r="L35" s="192" t="str">
        <f t="shared" ca="1" si="8"/>
        <v>Upcoming</v>
      </c>
      <c r="U35" s="344" t="s">
        <v>79</v>
      </c>
      <c r="V35" s="70">
        <f t="shared" ref="V35:V41" si="13">V34+1</f>
        <v>2027</v>
      </c>
      <c r="W35" s="345">
        <v>160</v>
      </c>
    </row>
    <row r="36" spans="2:23">
      <c r="B36" s="112">
        <v>46380</v>
      </c>
      <c r="C36" s="264" t="str">
        <f t="shared" si="5"/>
        <v>Thu</v>
      </c>
      <c r="D36" s="262">
        <v>0.29166666666666669</v>
      </c>
      <c r="E36" s="262">
        <v>0.66666666666666663</v>
      </c>
      <c r="F36" s="263">
        <f t="shared" si="6"/>
        <v>8.9999999999999982</v>
      </c>
      <c r="G36" s="264">
        <f t="shared" si="7"/>
        <v>7.9999999999999982</v>
      </c>
      <c r="H36" s="265" t="s">
        <v>4</v>
      </c>
      <c r="I36" s="196" t="s">
        <v>20</v>
      </c>
      <c r="J36" s="196" t="s">
        <v>20</v>
      </c>
      <c r="K36" s="266" t="s">
        <v>60</v>
      </c>
      <c r="L36" s="42" t="str">
        <f t="shared" ca="1" si="8"/>
        <v>Upcoming</v>
      </c>
      <c r="U36" s="344" t="s">
        <v>80</v>
      </c>
      <c r="V36" s="70">
        <f t="shared" si="13"/>
        <v>2028</v>
      </c>
      <c r="W36" s="345">
        <v>176</v>
      </c>
    </row>
    <row r="37" spans="2:23">
      <c r="B37" s="120">
        <v>46384</v>
      </c>
      <c r="C37" s="274" t="str">
        <f t="shared" si="5"/>
        <v>Mon</v>
      </c>
      <c r="D37" s="275">
        <v>0.29166666666666669</v>
      </c>
      <c r="E37" s="275">
        <v>0.66666666666666663</v>
      </c>
      <c r="F37" s="276">
        <f t="shared" si="6"/>
        <v>8.9999999999999982</v>
      </c>
      <c r="G37" s="274">
        <f t="shared" si="7"/>
        <v>7.9999999999999982</v>
      </c>
      <c r="H37" s="277" t="s">
        <v>4</v>
      </c>
      <c r="I37" s="199" t="s">
        <v>20</v>
      </c>
      <c r="J37" s="199" t="s">
        <v>20</v>
      </c>
      <c r="K37" s="278" t="s">
        <v>60</v>
      </c>
      <c r="L37" s="59" t="str">
        <f t="shared" ca="1" si="8"/>
        <v>Upcoming</v>
      </c>
      <c r="U37" s="344" t="s">
        <v>81</v>
      </c>
      <c r="V37" s="70">
        <f t="shared" si="13"/>
        <v>2029</v>
      </c>
      <c r="W37" s="345">
        <v>176</v>
      </c>
    </row>
    <row r="38" spans="2:23">
      <c r="B38" s="270">
        <v>46385</v>
      </c>
      <c r="C38" s="271" t="str">
        <f t="shared" si="5"/>
        <v>Tue</v>
      </c>
      <c r="D38" s="275">
        <v>0.29166666666666669</v>
      </c>
      <c r="E38" s="275">
        <v>0.66666666666666663</v>
      </c>
      <c r="F38" s="276">
        <f t="shared" ref="F38:F40" si="14">((E38 - D38) * 24)</f>
        <v>8.9999999999999982</v>
      </c>
      <c r="G38" s="274">
        <f t="shared" si="7"/>
        <v>7.9999999999999982</v>
      </c>
      <c r="H38" s="272" t="s">
        <v>4</v>
      </c>
      <c r="I38" s="198" t="s">
        <v>20</v>
      </c>
      <c r="J38" s="198" t="s">
        <v>20</v>
      </c>
      <c r="K38" s="273" t="s">
        <v>60</v>
      </c>
      <c r="L38" s="193" t="str">
        <f t="shared" ca="1" si="8"/>
        <v>Upcoming</v>
      </c>
      <c r="U38" s="344" t="s">
        <v>82</v>
      </c>
      <c r="V38" s="70">
        <f t="shared" si="13"/>
        <v>2030</v>
      </c>
      <c r="W38" s="345">
        <v>176</v>
      </c>
    </row>
    <row r="39" spans="2:23">
      <c r="B39" s="270">
        <v>46386</v>
      </c>
      <c r="C39" s="271" t="str">
        <f t="shared" si="5"/>
        <v>Wed</v>
      </c>
      <c r="D39" s="275">
        <v>0.29166666666666669</v>
      </c>
      <c r="E39" s="275">
        <v>0.66666666666666663</v>
      </c>
      <c r="F39" s="276">
        <f t="shared" si="14"/>
        <v>8.9999999999999982</v>
      </c>
      <c r="G39" s="274">
        <f t="shared" si="7"/>
        <v>7.9999999999999982</v>
      </c>
      <c r="H39" s="272" t="s">
        <v>4</v>
      </c>
      <c r="I39" s="198" t="s">
        <v>20</v>
      </c>
      <c r="J39" s="198" t="s">
        <v>20</v>
      </c>
      <c r="K39" s="273" t="s">
        <v>60</v>
      </c>
      <c r="L39" s="193" t="str">
        <f t="shared" ca="1" si="8"/>
        <v>Upcoming</v>
      </c>
      <c r="U39" s="344" t="s">
        <v>83</v>
      </c>
      <c r="V39" s="70">
        <f t="shared" si="13"/>
        <v>2031</v>
      </c>
      <c r="W39" s="345">
        <v>176</v>
      </c>
    </row>
    <row r="40" spans="2:23" ht="15.75" thickBot="1">
      <c r="B40" s="113">
        <v>46387</v>
      </c>
      <c r="C40" s="271" t="str">
        <f t="shared" si="5"/>
        <v>Thu</v>
      </c>
      <c r="D40" s="275">
        <v>0.29166666666666669</v>
      </c>
      <c r="E40" s="275">
        <v>0.66666666666666663</v>
      </c>
      <c r="F40" s="276">
        <f t="shared" si="14"/>
        <v>8.9999999999999982</v>
      </c>
      <c r="G40" s="274">
        <f t="shared" si="7"/>
        <v>7.9999999999999982</v>
      </c>
      <c r="H40" s="267" t="s">
        <v>4</v>
      </c>
      <c r="I40" s="244" t="s">
        <v>20</v>
      </c>
      <c r="J40" s="244" t="s">
        <v>20</v>
      </c>
      <c r="K40" s="268" t="s">
        <v>60</v>
      </c>
      <c r="L40" s="193" t="str">
        <f t="shared" ca="1" si="8"/>
        <v>Upcoming</v>
      </c>
      <c r="U40" s="344" t="s">
        <v>84</v>
      </c>
      <c r="V40" s="70">
        <f t="shared" si="13"/>
        <v>2032</v>
      </c>
      <c r="W40" s="345">
        <v>176</v>
      </c>
    </row>
    <row r="41" spans="2:23" ht="15.75" thickBot="1">
      <c r="B41" s="102"/>
      <c r="C41" s="165" t="str">
        <f t="shared" ref="C41:C42" si="15">IF(ISNUMBER(FIND("?", B41, 1)), "TBD", TEXT(B41, "ddd"))</f>
        <v>Sat</v>
      </c>
      <c r="D41" s="157"/>
      <c r="E41" s="157"/>
      <c r="F41" s="220">
        <f t="shared" ref="F41:F42" si="16">((E41 - D41) * 24)</f>
        <v>0</v>
      </c>
      <c r="G41" s="217">
        <f t="shared" ref="G41:G42" si="17">IF(F41 &gt; 4, (F41 - 1), F41)</f>
        <v>0</v>
      </c>
      <c r="H41" s="180"/>
      <c r="I41" s="197" t="s">
        <v>66</v>
      </c>
      <c r="J41" s="197" t="s">
        <v>66</v>
      </c>
      <c r="K41" s="205"/>
      <c r="L41" s="252" t="str">
        <f t="shared" ref="L41:L42" ca="1" si="18">IF(C41 = "TBD", "TBD", IF(B41 = "", "IDK!!", IF(TODAY() &gt; B41, "Passed", IF(TODAY() = B41, "Today!!", "Upcoming"))))</f>
        <v>IDK!!</v>
      </c>
      <c r="U41" s="346" t="s">
        <v>85</v>
      </c>
      <c r="V41" s="347">
        <f t="shared" si="13"/>
        <v>2033</v>
      </c>
      <c r="W41" s="348">
        <f>192 + 10</f>
        <v>202</v>
      </c>
    </row>
    <row r="42" spans="2:23" ht="15.75" thickBot="1">
      <c r="B42" s="259"/>
      <c r="C42" s="253" t="str">
        <f t="shared" si="15"/>
        <v>Sat</v>
      </c>
      <c r="D42" s="260"/>
      <c r="E42" s="260"/>
      <c r="F42" s="261">
        <f t="shared" si="16"/>
        <v>0</v>
      </c>
      <c r="G42" s="253">
        <f t="shared" si="17"/>
        <v>0</v>
      </c>
      <c r="H42" s="254"/>
      <c r="I42" s="202" t="s">
        <v>66</v>
      </c>
      <c r="J42" s="202" t="s">
        <v>66</v>
      </c>
      <c r="K42" s="255"/>
      <c r="L42" s="251" t="str">
        <f t="shared" ca="1" si="18"/>
        <v>IDK!!</v>
      </c>
    </row>
    <row r="43" spans="2:23" ht="15.75" thickBot="1">
      <c r="B43" s="86" t="s">
        <v>11</v>
      </c>
      <c r="C43" s="303"/>
      <c r="D43" s="304"/>
      <c r="E43" s="305"/>
      <c r="F43" s="228">
        <f>SUM(F14:F42)</f>
        <v>163.5</v>
      </c>
      <c r="G43" s="256">
        <f>SUM(G14:G42)</f>
        <v>140.5</v>
      </c>
      <c r="H43" s="301"/>
      <c r="I43" s="302"/>
      <c r="J43" s="302"/>
      <c r="K43" s="302"/>
      <c r="L43" s="302"/>
    </row>
  </sheetData>
  <autoFilter ref="B13:K43" xr:uid="{4B51B8F7-4ACE-45CA-965B-2AD2897F333A}"/>
  <phoneticPr fontId="5" type="noConversion"/>
  <conditionalFormatting sqref="B14:L42">
    <cfRule type="expression" dxfId="20" priority="2">
      <formula>$L14="Passed"</formula>
    </cfRule>
  </conditionalFormatting>
  <conditionalFormatting sqref="C14:F42 L14:L42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2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2026-05-15T10:51:03Z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