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000AFBB8-A795-4D7E-B4C9-CEF3EBF9C31E}" xr6:coauthVersionLast="47" xr6:coauthVersionMax="47" xr10:uidLastSave="{00000000-0000-0000-0000-000000000000}"/>
  <bookViews>
    <workbookView xWindow="1305" yWindow="0" windowWidth="28800" windowHeight="2098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'2026'!$B$13:$K$42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7" l="1"/>
  <c r="F19" i="7"/>
  <c r="C19" i="7"/>
  <c r="K19" i="7" s="1"/>
  <c r="F32" i="7"/>
  <c r="G32" i="7" s="1"/>
  <c r="C32" i="7"/>
  <c r="K32" i="7" s="1"/>
  <c r="F33" i="7"/>
  <c r="G33" i="7" s="1"/>
  <c r="C33" i="7"/>
  <c r="K33" i="7" s="1"/>
  <c r="F30" i="7"/>
  <c r="G30" i="7" s="1"/>
  <c r="C30" i="7"/>
  <c r="K30" i="7" s="1"/>
  <c r="C16" i="7"/>
  <c r="K16" i="7" s="1"/>
  <c r="F16" i="7"/>
  <c r="G16" i="7" s="1"/>
  <c r="F15" i="7"/>
  <c r="G15" i="7" s="1"/>
  <c r="C15" i="7"/>
  <c r="K15" i="7" s="1"/>
  <c r="C17" i="7"/>
  <c r="F17" i="7"/>
  <c r="G17" i="7" s="1"/>
  <c r="C18" i="7"/>
  <c r="F18" i="7"/>
  <c r="G18" i="7" s="1"/>
  <c r="C20" i="7"/>
  <c r="F20" i="7"/>
  <c r="G20" i="7" s="1"/>
  <c r="C21" i="7"/>
  <c r="F21" i="7"/>
  <c r="G21" i="7" s="1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1" i="7"/>
  <c r="F31" i="7"/>
  <c r="G31" i="7"/>
  <c r="C34" i="7"/>
  <c r="F34" i="7"/>
  <c r="G34" i="7" s="1"/>
  <c r="C35" i="7"/>
  <c r="F35" i="7"/>
  <c r="G35" i="7" s="1"/>
  <c r="C36" i="7"/>
  <c r="F36" i="7"/>
  <c r="G36" i="7" s="1"/>
  <c r="C37" i="7"/>
  <c r="F37" i="7"/>
  <c r="G37" i="7" s="1"/>
  <c r="C38" i="7"/>
  <c r="F38" i="7"/>
  <c r="G38" i="7"/>
  <c r="C39" i="7"/>
  <c r="F39" i="7"/>
  <c r="G39" i="7" s="1"/>
  <c r="C40" i="7"/>
  <c r="F40" i="7"/>
  <c r="G40" i="7" s="1"/>
  <c r="C41" i="7"/>
  <c r="F41" i="7"/>
  <c r="G41" i="7" s="1"/>
  <c r="F14" i="7" l="1"/>
  <c r="C14" i="7"/>
  <c r="K14" i="7" s="1"/>
  <c r="K31" i="7"/>
  <c r="K17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2" i="7"/>
  <c r="E10" i="7"/>
  <c r="E11" i="7" s="1"/>
  <c r="K18" i="7"/>
  <c r="K36" i="7"/>
  <c r="K38" i="7"/>
  <c r="K39" i="7"/>
  <c r="K37" i="7"/>
  <c r="K35" i="7"/>
  <c r="K34" i="7"/>
  <c r="K22" i="7"/>
  <c r="K23" i="7"/>
  <c r="K24" i="7"/>
  <c r="K25" i="7"/>
  <c r="K26" i="7"/>
  <c r="K27" i="7"/>
  <c r="K28" i="7"/>
  <c r="K29" i="7"/>
  <c r="K21" i="7"/>
  <c r="K20" i="7"/>
  <c r="K41" i="7"/>
  <c r="K40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2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<sst xmlns="http://schemas.openxmlformats.org/spreadsheetml/2006/main" count="476" uniqueCount="73">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</sst>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5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42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159591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446143</xdr:colOff>
      <xdr:row>28</xdr:row>
      <xdr:rowOff>84535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25774" y="2248460"/>
          <a:ext cx="5132445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44</xdr:row>
      <xdr:rowOff>100853</xdr:rowOff>
    </xdr:from>
    <xdr:to>
      <xdr:col>26</xdr:col>
      <xdr:colOff>458322</xdr:colOff>
      <xdr:row>64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K42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57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153</v>
      </c>
      <c r="E3" s="1">
        <f ca="1">C3 - C6 - SUMIF(H14:H41, "PTO", G14:G41)</f>
        <v>15.5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19.125</v>
      </c>
      <c r="E5" s="8">
        <f ca="1">E3/8</f>
        <v>1.9375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SUMIF(H14:H41, "Sick", G14:G41)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SUMIF(H14:H41, "Be You", G14:G41)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SUMIF(H14:H41, "Volunteer", G14:G41)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21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1" si="1">IF(F14 &gt; 4, (F14 - 1), F14)</f>
        <v>4</v>
      </c>
      <c r="H14" s="242" t="s">
        <v>10</v>
      </c>
      <c r="I14" s="196" t="s">
        <v>20</v>
      </c>
      <c r="J14" s="243" t="s">
        <v>67</v>
      </c>
      <c r="K14" s="42" t="str">
        <f t="shared" ref="K14:K21" ca="1" si="2">IF(C14 = "TBD", "TBD", IF(B14 = "", "IDK!!", IF(TODAY() &gt; B14, "Passed", IF(TODAY() = B14, "Today!!", "Upcoming"))))</f>
        <v>Passed</v>
      </c>
    </row>
    <row r="15" spans="2:11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311" t="s">
        <v>69</v>
      </c>
      <c r="K15" s="60" t="str">
        <f t="shared" ca="1" si="2"/>
        <v>Passed</v>
      </c>
    </row>
    <row r="16" spans="2:11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288" t="s">
        <v>70</v>
      </c>
      <c r="K16" s="60" t="str">
        <f t="shared" ca="1" si="2"/>
        <v>Passed</v>
      </c>
    </row>
    <row r="17" spans="2:11" ht="15.75" thickBot="1">
      <c r="B17" s="112">
        <v>46164</v>
      </c>
      <c r="C17" s="264" t="str">
        <f t="shared" si="0"/>
        <v>Fri</v>
      </c>
      <c r="D17" s="291">
        <v>0.45833333333333331</v>
      </c>
      <c r="E17" s="291">
        <v>0.66666666666666663</v>
      </c>
      <c r="F17" s="292">
        <f t="shared" ref="F17:F21" si="4">((E17 - D17) * 24)</f>
        <v>5</v>
      </c>
      <c r="G17" s="290">
        <f t="shared" si="1"/>
        <v>4</v>
      </c>
      <c r="H17" s="265" t="s">
        <v>4</v>
      </c>
      <c r="I17" s="196" t="s">
        <v>20</v>
      </c>
      <c r="J17" s="266" t="s">
        <v>42</v>
      </c>
      <c r="K17" s="47" t="str">
        <f t="shared" ca="1" si="2"/>
        <v>Upcoming</v>
      </c>
    </row>
    <row r="18" spans="2:11">
      <c r="B18" s="279">
        <v>46226</v>
      </c>
      <c r="C18" s="217" t="str">
        <f t="shared" si="0"/>
        <v>Thu</v>
      </c>
      <c r="D18" s="157">
        <v>0.45833333333333331</v>
      </c>
      <c r="E18" s="157">
        <v>0.66666666666666663</v>
      </c>
      <c r="F18" s="220">
        <f t="shared" si="4"/>
        <v>5</v>
      </c>
      <c r="G18" s="217">
        <f t="shared" si="1"/>
        <v>4</v>
      </c>
      <c r="H18" s="280" t="s">
        <v>4</v>
      </c>
      <c r="I18" s="196" t="s">
        <v>20</v>
      </c>
      <c r="J18" s="281" t="s">
        <v>46</v>
      </c>
      <c r="K18" s="42" t="str">
        <f t="shared" ca="1" si="2"/>
        <v>Upcoming</v>
      </c>
    </row>
    <row r="19" spans="2:11">
      <c r="B19" s="337">
        <v>46227</v>
      </c>
      <c r="C19" s="338" t="str">
        <f>IF(ISNUMBER(FIND("?", B19, 1)), "TBD", TEXT(B19, "ddd"))</f>
        <v>Fri</v>
      </c>
      <c r="D19" s="339">
        <v>0.29166666666666669</v>
      </c>
      <c r="E19" s="339">
        <v>0.66666666666666663</v>
      </c>
      <c r="F19" s="221">
        <f>((E19 - D19) * 24)</f>
        <v>8.9999999999999982</v>
      </c>
      <c r="G19" s="338">
        <f>IF(F19 &gt; 4, (F19 - 1), F19)</f>
        <v>7.9999999999999982</v>
      </c>
      <c r="H19" s="340" t="s">
        <v>4</v>
      </c>
      <c r="I19" s="199" t="s">
        <v>20</v>
      </c>
      <c r="J19" s="341" t="s">
        <v>46</v>
      </c>
      <c r="K19" s="59" t="str">
        <f ca="1">IF(C19 = "TBD", "TBD", IF(B19 = "", "IDK!!", IF(TODAY() &gt; B19, "Passed", IF(TODAY() = B19, "Today!!", "Upcoming"))))</f>
        <v>Upcoming</v>
      </c>
    </row>
    <row r="20" spans="2:11">
      <c r="B20" s="140">
        <v>46232</v>
      </c>
      <c r="C20" s="166" t="str">
        <f t="shared" si="0"/>
        <v>Wed</v>
      </c>
      <c r="D20" s="158">
        <v>0.45833333333333331</v>
      </c>
      <c r="E20" s="158">
        <v>0.66666666666666663</v>
      </c>
      <c r="F20" s="221">
        <f t="shared" si="4"/>
        <v>5</v>
      </c>
      <c r="G20" s="166">
        <f t="shared" si="1"/>
        <v>4</v>
      </c>
      <c r="H20" s="181" t="s">
        <v>4</v>
      </c>
      <c r="I20" s="198" t="s">
        <v>20</v>
      </c>
      <c r="J20" s="206" t="s">
        <v>59</v>
      </c>
      <c r="K20" s="329" t="str">
        <f t="shared" ca="1" si="2"/>
        <v>Upcoming</v>
      </c>
    </row>
    <row r="21" spans="2:11">
      <c r="B21" s="140">
        <v>46233</v>
      </c>
      <c r="C21" s="166" t="str">
        <f t="shared" si="0"/>
        <v>Thu</v>
      </c>
      <c r="D21" s="158">
        <v>0.45833333333333331</v>
      </c>
      <c r="E21" s="158">
        <v>0.66666666666666663</v>
      </c>
      <c r="F21" s="221">
        <f t="shared" si="4"/>
        <v>5</v>
      </c>
      <c r="G21" s="166">
        <f t="shared" si="1"/>
        <v>4</v>
      </c>
      <c r="H21" s="181" t="s">
        <v>4</v>
      </c>
      <c r="I21" s="198" t="s">
        <v>20</v>
      </c>
      <c r="J21" s="206" t="s">
        <v>59</v>
      </c>
      <c r="K21" s="329" t="str">
        <f t="shared" ca="1" si="2"/>
        <v>Upcoming</v>
      </c>
    </row>
    <row r="22" spans="2:11" ht="15.75" thickBot="1">
      <c r="B22" s="330">
        <v>46234</v>
      </c>
      <c r="C22" s="331" t="str">
        <f t="shared" ref="C22:C39" si="5">IF(ISNUMBER(FIND("?", B22, 1)), "TBD", TEXT(B22, "ddd"))</f>
        <v>Fri</v>
      </c>
      <c r="D22" s="332">
        <v>0.45833333333333331</v>
      </c>
      <c r="E22" s="332">
        <v>0.66666666666666663</v>
      </c>
      <c r="F22" s="333">
        <f t="shared" ref="F22:F36" si="6">((E22 - D22) * 24)</f>
        <v>5</v>
      </c>
      <c r="G22" s="331">
        <f t="shared" ref="G22:G39" si="7">IF(F22 &gt; 4, (F22 - 1), F22)</f>
        <v>4</v>
      </c>
      <c r="H22" s="334" t="s">
        <v>4</v>
      </c>
      <c r="I22" s="244" t="s">
        <v>20</v>
      </c>
      <c r="J22" s="335" t="s">
        <v>59</v>
      </c>
      <c r="K22" s="336" t="str">
        <f t="shared" ref="K22:K39" ca="1" si="8">IF(C22 = "TBD", "TBD", IF(B22 = "", "IDK!!", IF(TODAY() &gt; B22, "Passed", IF(TODAY() = B22, "Today!!", "Upcoming"))))</f>
        <v>Upcoming</v>
      </c>
    </row>
    <row r="23" spans="2:11">
      <c r="B23" s="123">
        <v>46240</v>
      </c>
      <c r="C23" s="245" t="str">
        <f t="shared" si="5"/>
        <v>Thu</v>
      </c>
      <c r="D23" s="246">
        <v>0.45833333333333331</v>
      </c>
      <c r="E23" s="246">
        <v>0.66666666666666663</v>
      </c>
      <c r="F23" s="258">
        <f t="shared" si="6"/>
        <v>5</v>
      </c>
      <c r="G23" s="245">
        <f t="shared" si="7"/>
        <v>4</v>
      </c>
      <c r="H23" s="247" t="s">
        <v>4</v>
      </c>
      <c r="I23" s="199" t="s">
        <v>20</v>
      </c>
      <c r="J23" s="248" t="s">
        <v>59</v>
      </c>
      <c r="K23" s="59" t="str">
        <f t="shared" ca="1" si="8"/>
        <v>Upcoming</v>
      </c>
    </row>
    <row r="24" spans="2:11" ht="15.75" thickBot="1">
      <c r="B24" s="249">
        <v>46241</v>
      </c>
      <c r="C24" s="245" t="str">
        <f t="shared" si="5"/>
        <v>Fri</v>
      </c>
      <c r="D24" s="246">
        <v>0.45833333333333331</v>
      </c>
      <c r="E24" s="246">
        <v>0.66666666666666663</v>
      </c>
      <c r="F24" s="258">
        <f t="shared" si="6"/>
        <v>5</v>
      </c>
      <c r="G24" s="245">
        <f t="shared" si="7"/>
        <v>4</v>
      </c>
      <c r="H24" s="247" t="s">
        <v>4</v>
      </c>
      <c r="I24" s="199" t="s">
        <v>20</v>
      </c>
      <c r="J24" s="248" t="s">
        <v>59</v>
      </c>
      <c r="K24" s="59" t="str">
        <f t="shared" ca="1" si="8"/>
        <v>Upcoming</v>
      </c>
    </row>
    <row r="25" spans="2:11" ht="15.75" thickBot="1">
      <c r="B25" s="249">
        <v>46244</v>
      </c>
      <c r="C25" s="245" t="str">
        <f t="shared" si="5"/>
        <v>Mon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248" t="s">
        <v>39</v>
      </c>
      <c r="K25" s="59" t="str">
        <f t="shared" ca="1" si="8"/>
        <v>Upcoming</v>
      </c>
    </row>
    <row r="26" spans="2:11" ht="15.75" thickBot="1">
      <c r="B26" s="249">
        <v>46245</v>
      </c>
      <c r="C26" s="245" t="str">
        <f t="shared" si="5"/>
        <v>Tue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248" t="s">
        <v>39</v>
      </c>
      <c r="K26" s="59" t="str">
        <f t="shared" ca="1" si="8"/>
        <v>Upcoming</v>
      </c>
    </row>
    <row r="27" spans="2:11" ht="15.75" thickBot="1">
      <c r="B27" s="249">
        <v>46246</v>
      </c>
      <c r="C27" s="245" t="str">
        <f t="shared" si="5"/>
        <v>Wed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248" t="s">
        <v>39</v>
      </c>
      <c r="K27" s="59" t="str">
        <f t="shared" ca="1" si="8"/>
        <v>Upcoming</v>
      </c>
    </row>
    <row r="28" spans="2:11" ht="15.75" thickBot="1">
      <c r="B28" s="250">
        <v>46247</v>
      </c>
      <c r="C28" s="245" t="str">
        <f t="shared" si="5"/>
        <v>Thu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248" t="s">
        <v>39</v>
      </c>
      <c r="K28" s="59" t="str">
        <f t="shared" ca="1" si="8"/>
        <v>Upcoming</v>
      </c>
    </row>
    <row r="29" spans="2:11">
      <c r="B29" s="250">
        <v>46248</v>
      </c>
      <c r="C29" s="245" t="str">
        <f t="shared" si="5"/>
        <v>Fri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248" t="s">
        <v>39</v>
      </c>
      <c r="K29" s="59" t="str">
        <f t="shared" ca="1" si="8"/>
        <v>Upcoming</v>
      </c>
    </row>
    <row r="30" spans="2:11" ht="15.75" thickBot="1">
      <c r="B30" s="250">
        <v>46253</v>
      </c>
      <c r="C30" s="245" t="str">
        <f t="shared" si="5"/>
        <v>Wed</v>
      </c>
      <c r="D30" s="246">
        <v>0.29166666666666669</v>
      </c>
      <c r="E30" s="246">
        <v>0.5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248" t="s">
        <v>71</v>
      </c>
      <c r="K30" s="59" t="str">
        <f t="shared" ca="1" si="8"/>
        <v>Upcoming</v>
      </c>
    </row>
    <row r="31" spans="2:11">
      <c r="B31" s="105">
        <v>46269</v>
      </c>
      <c r="C31" s="170" t="str">
        <f t="shared" ref="C31:C33" si="9">IF(ISNUMBER(FIND("?", B31, 1)), "TBD", TEXT(B31, "ddd"))</f>
        <v>Fri</v>
      </c>
      <c r="D31" s="160">
        <v>0.45833333333333331</v>
      </c>
      <c r="E31" s="160">
        <v>0.66666666666666663</v>
      </c>
      <c r="F31" s="224">
        <f t="shared" ref="F31:F33" si="10">((E31 - D31) * 24)</f>
        <v>5</v>
      </c>
      <c r="G31" s="170">
        <f t="shared" ref="G31:G33" si="11">IF(F31 &gt; 4, (F31 - 1), F31)</f>
        <v>4</v>
      </c>
      <c r="H31" s="185" t="s">
        <v>4</v>
      </c>
      <c r="I31" s="196" t="s">
        <v>20</v>
      </c>
      <c r="J31" s="210" t="s">
        <v>24</v>
      </c>
      <c r="K31" s="42" t="str">
        <f t="shared" ref="K31:K33" ca="1" si="12">IF(C31 = "TBD", "TBD", IF(B31 = "", "IDK!!", IF(TODAY() &gt; B31, "Passed", IF(TODAY() = B31, "Today!!", "Upcoming"))))</f>
        <v>Upcoming</v>
      </c>
    </row>
    <row r="32" spans="2:11">
      <c r="B32" s="322">
        <v>46275</v>
      </c>
      <c r="C32" s="323" t="str">
        <f t="shared" si="9"/>
        <v>Thu</v>
      </c>
      <c r="D32" s="324">
        <v>0.41666666666666669</v>
      </c>
      <c r="E32" s="324">
        <v>0.45833333333333331</v>
      </c>
      <c r="F32" s="325">
        <f t="shared" si="10"/>
        <v>0.99999999999999911</v>
      </c>
      <c r="G32" s="323">
        <f t="shared" si="11"/>
        <v>0.99999999999999911</v>
      </c>
      <c r="H32" s="326" t="s">
        <v>4</v>
      </c>
      <c r="I32" s="327" t="s">
        <v>20</v>
      </c>
      <c r="J32" s="328" t="s">
        <v>72</v>
      </c>
      <c r="K32" s="67" t="str">
        <f t="shared" ca="1" si="12"/>
        <v>Upcoming</v>
      </c>
    </row>
    <row r="33" spans="2:11" ht="15.75" thickBot="1">
      <c r="B33" s="316">
        <v>46275</v>
      </c>
      <c r="C33" s="317" t="str">
        <f t="shared" si="9"/>
        <v>Thu</v>
      </c>
      <c r="D33" s="318">
        <v>0.29166666666666669</v>
      </c>
      <c r="E33" s="318">
        <v>0.41666666666666669</v>
      </c>
      <c r="F33" s="319">
        <f t="shared" si="10"/>
        <v>3</v>
      </c>
      <c r="G33" s="317">
        <f t="shared" si="11"/>
        <v>3</v>
      </c>
      <c r="H33" s="320" t="s">
        <v>10</v>
      </c>
      <c r="I33" s="244" t="s">
        <v>20</v>
      </c>
      <c r="J33" s="321" t="s">
        <v>72</v>
      </c>
      <c r="K33" s="60" t="str">
        <f t="shared" ca="1" si="12"/>
        <v>Upcoming</v>
      </c>
    </row>
    <row r="34" spans="2:11" ht="15.75" thickBot="1">
      <c r="B34" s="124">
        <v>46353</v>
      </c>
      <c r="C34" s="173" t="str">
        <f t="shared" si="5"/>
        <v>Fri</v>
      </c>
      <c r="D34" s="155">
        <v>0.29166666666666669</v>
      </c>
      <c r="E34" s="155">
        <v>0.66666666666666663</v>
      </c>
      <c r="F34" s="226">
        <f t="shared" si="6"/>
        <v>8.9999999999999982</v>
      </c>
      <c r="G34" s="173">
        <f t="shared" si="7"/>
        <v>7.9999999999999982</v>
      </c>
      <c r="H34" s="188" t="s">
        <v>4</v>
      </c>
      <c r="I34" s="200" t="s">
        <v>20</v>
      </c>
      <c r="J34" s="269" t="s">
        <v>14</v>
      </c>
      <c r="K34" s="192" t="str">
        <f t="shared" ca="1" si="8"/>
        <v>Upcoming</v>
      </c>
    </row>
    <row r="35" spans="2:11" ht="15.75" thickBot="1">
      <c r="B35" s="112">
        <v>46380</v>
      </c>
      <c r="C35" s="264" t="str">
        <f t="shared" si="5"/>
        <v>Thu</v>
      </c>
      <c r="D35" s="262">
        <v>0.29166666666666669</v>
      </c>
      <c r="E35" s="262">
        <v>0.66666666666666663</v>
      </c>
      <c r="F35" s="263">
        <f t="shared" si="6"/>
        <v>8.9999999999999982</v>
      </c>
      <c r="G35" s="264">
        <f t="shared" si="7"/>
        <v>7.9999999999999982</v>
      </c>
      <c r="H35" s="265" t="s">
        <v>4</v>
      </c>
      <c r="I35" s="196" t="s">
        <v>20</v>
      </c>
      <c r="J35" s="266" t="s">
        <v>60</v>
      </c>
      <c r="K35" s="42" t="str">
        <f t="shared" ca="1" si="8"/>
        <v>Upcoming</v>
      </c>
    </row>
    <row r="36" spans="2:11" ht="15.75" thickBot="1">
      <c r="B36" s="120">
        <v>46384</v>
      </c>
      <c r="C36" s="274" t="str">
        <f t="shared" si="5"/>
        <v>Mon</v>
      </c>
      <c r="D36" s="275">
        <v>0.29166666666666669</v>
      </c>
      <c r="E36" s="275">
        <v>0.66666666666666663</v>
      </c>
      <c r="F36" s="276">
        <f t="shared" si="6"/>
        <v>8.9999999999999982</v>
      </c>
      <c r="G36" s="274">
        <f t="shared" si="7"/>
        <v>7.9999999999999982</v>
      </c>
      <c r="H36" s="277" t="s">
        <v>4</v>
      </c>
      <c r="I36" s="199" t="s">
        <v>20</v>
      </c>
      <c r="J36" s="278" t="s">
        <v>60</v>
      </c>
      <c r="K36" s="59" t="str">
        <f t="shared" ca="1" si="8"/>
        <v>Upcoming</v>
      </c>
    </row>
    <row r="37" spans="2:11" ht="15.75" thickBot="1">
      <c r="B37" s="270">
        <v>46385</v>
      </c>
      <c r="C37" s="271" t="str">
        <f t="shared" si="5"/>
        <v>Tue</v>
      </c>
      <c r="D37" s="275">
        <v>0.29166666666666669</v>
      </c>
      <c r="E37" s="275">
        <v>0.66666666666666663</v>
      </c>
      <c r="F37" s="276">
        <f t="shared" ref="F37:F39" si="13">((E37 - D37) * 24)</f>
        <v>8.9999999999999982</v>
      </c>
      <c r="G37" s="274">
        <f t="shared" si="7"/>
        <v>7.9999999999999982</v>
      </c>
      <c r="H37" s="272" t="s">
        <v>4</v>
      </c>
      <c r="I37" s="198" t="s">
        <v>20</v>
      </c>
      <c r="J37" s="273" t="s">
        <v>60</v>
      </c>
      <c r="K37" s="193" t="str">
        <f t="shared" ca="1" si="8"/>
        <v>Upcoming</v>
      </c>
    </row>
    <row r="38" spans="2:11">
      <c r="B38" s="270">
        <v>46386</v>
      </c>
      <c r="C38" s="271" t="str">
        <f t="shared" si="5"/>
        <v>Wed</v>
      </c>
      <c r="D38" s="275">
        <v>0.29166666666666669</v>
      </c>
      <c r="E38" s="275">
        <v>0.66666666666666663</v>
      </c>
      <c r="F38" s="276">
        <f t="shared" si="13"/>
        <v>8.9999999999999982</v>
      </c>
      <c r="G38" s="274">
        <f t="shared" si="7"/>
        <v>7.9999999999999982</v>
      </c>
      <c r="H38" s="272" t="s">
        <v>4</v>
      </c>
      <c r="I38" s="198" t="s">
        <v>20</v>
      </c>
      <c r="J38" s="273" t="s">
        <v>60</v>
      </c>
      <c r="K38" s="193" t="str">
        <f t="shared" ca="1" si="8"/>
        <v>Upcoming</v>
      </c>
    </row>
    <row r="39" spans="2:11" ht="15.75" thickBot="1">
      <c r="B39" s="113">
        <v>46387</v>
      </c>
      <c r="C39" s="271" t="str">
        <f t="shared" si="5"/>
        <v>Thu</v>
      </c>
      <c r="D39" s="275">
        <v>0.29166666666666669</v>
      </c>
      <c r="E39" s="275">
        <v>0.66666666666666663</v>
      </c>
      <c r="F39" s="276">
        <f t="shared" si="13"/>
        <v>8.9999999999999982</v>
      </c>
      <c r="G39" s="274">
        <f t="shared" si="7"/>
        <v>7.9999999999999982</v>
      </c>
      <c r="H39" s="267" t="s">
        <v>4</v>
      </c>
      <c r="I39" s="244" t="s">
        <v>20</v>
      </c>
      <c r="J39" s="268" t="s">
        <v>60</v>
      </c>
      <c r="K39" s="193" t="str">
        <f t="shared" ca="1" si="8"/>
        <v>Upcoming</v>
      </c>
    </row>
    <row r="40" spans="2:11">
      <c r="B40" s="102"/>
      <c r="C40" s="165" t="str">
        <f t="shared" ref="C40:C41" si="14">IF(ISNUMBER(FIND("?", B40, 1)), "TBD", TEXT(B40, "ddd"))</f>
        <v>Sat</v>
      </c>
      <c r="D40" s="157"/>
      <c r="E40" s="157"/>
      <c r="F40" s="220">
        <f t="shared" ref="F40:F41" si="15">((E40 - D40) * 24)</f>
        <v>0</v>
      </c>
      <c r="G40" s="217">
        <f t="shared" ref="G40:G41" si="16">IF(F40 &gt; 4, (F40 - 1), F40)</f>
        <v>0</v>
      </c>
      <c r="H40" s="180"/>
      <c r="I40" s="197" t="s">
        <v>66</v>
      </c>
      <c r="J40" s="205"/>
      <c r="K40" s="252" t="str">
        <f t="shared" ref="K40:K41" ca="1" si="17">IF(C40 = "TBD", "TBD", IF(B40 = "", "IDK!!", IF(TODAY() &gt; B40, "Passed", IF(TODAY() = B40, "Today!!", "Upcoming"))))</f>
        <v>IDK!!</v>
      </c>
    </row>
    <row r="41" spans="2:11" ht="15.75" thickBot="1">
      <c r="B41" s="259"/>
      <c r="C41" s="253" t="str">
        <f t="shared" si="14"/>
        <v>Sat</v>
      </c>
      <c r="D41" s="260"/>
      <c r="E41" s="260"/>
      <c r="F41" s="261">
        <f t="shared" si="15"/>
        <v>0</v>
      </c>
      <c r="G41" s="253">
        <f t="shared" si="16"/>
        <v>0</v>
      </c>
      <c r="H41" s="254"/>
      <c r="I41" s="202" t="s">
        <v>66</v>
      </c>
      <c r="J41" s="255"/>
      <c r="K41" s="251" t="str">
        <f t="shared" ca="1" si="17"/>
        <v>IDK!!</v>
      </c>
    </row>
    <row r="42" spans="2:11" ht="15.75" thickBot="1">
      <c r="B42" s="86" t="s">
        <v>11</v>
      </c>
      <c r="C42" s="303"/>
      <c r="D42" s="304"/>
      <c r="E42" s="305"/>
      <c r="F42" s="228">
        <f>SUM(F14:F41)</f>
        <v>152</v>
      </c>
      <c r="G42" s="256">
        <f>SUM(G14:G41)</f>
        <v>129</v>
      </c>
      <c r="H42" s="301"/>
      <c r="I42" s="302"/>
      <c r="J42" s="302"/>
      <c r="K42" s="302"/>
    </row>
  </sheetData>
  <autoFilter ref="B13:J42" xr:uid="{4B51B8F7-4ACE-45CA-965B-2AD2897F333A}"/>
  <conditionalFormatting sqref="B14:K41">
    <cfRule type="expression" dxfId="22" priority="2">
      <formula>$K14="Passed"</formula>
    </cfRule>
  </conditionalFormatting>
  <conditionalFormatting sqref="K14:K41 C14:F41">
    <cfRule type="cellIs" dxfId="21" priority="3" operator="equal">
      <formula>"TBD"</formula>
    </cfRule>
  </conditionalFormatting>
  <conditionalFormatting sqref="E3 E5">
    <cfRule type="cellIs" dxfId="20" priority="4" operator="greaterThan">
      <formula>0</formula>
    </cfRule>
  </conditionalFormatting>
  <conditionalFormatting sqref="E3 E5:E11">
    <cfRule type="cellIs" dxfId="19" priority="6" operator="lessThanOrEqual">
      <formula>0</formula>
    </cfRule>
  </conditionalFormatting>
  <conditionalFormatting sqref="I14:I41">
    <cfRule type="cellIs" dxfId="18" priority="1" operator="equal">
      <formula>"N/A"</formula>
    </cfRule>
    <cfRule type="cellIs" dxfId="17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6" priority="2" operator="equal">
      <formula>"TBD"</formula>
    </cfRule>
  </conditionalFormatting>
  <conditionalFormatting sqref="E3 E5">
    <cfRule type="cellIs" dxfId="15" priority="7" operator="greaterThan">
      <formula>0</formula>
    </cfRule>
  </conditionalFormatting>
  <conditionalFormatting sqref="E3 E5:E11">
    <cfRule type="cellIs" dxfId="14" priority="9" operator="lessThanOrEqual">
      <formula>0</formula>
    </cfRule>
  </conditionalFormatting>
  <conditionalFormatting sqref="F14:F43">
    <cfRule type="cellIs" dxfId="13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2" priority="1">
      <formula>$K14="Passed"</formula>
    </cfRule>
  </conditionalFormatting>
  <conditionalFormatting sqref="C14:F47 K14:K47">
    <cfRule type="cellIs" dxfId="11" priority="3" operator="equal">
      <formula>"TBD"</formula>
    </cfRule>
  </conditionalFormatting>
  <conditionalFormatting sqref="E3 E5">
    <cfRule type="cellIs" dxfId="10" priority="4" operator="greaterThan">
      <formula>0</formula>
    </cfRule>
  </conditionalFormatting>
  <conditionalFormatting sqref="E3 E5:E11">
    <cfRule type="cellIs" dxfId="9" priority="6" operator="lessThanOrEqual">
      <formula>0</formula>
    </cfRule>
  </conditionalFormatting>
  <conditionalFormatting sqref="I14:I47">
    <cfRule type="cellIs" dxfId="8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7" priority="13" operator="greaterThan">
      <formula>0</formula>
    </cfRule>
  </conditionalFormatting>
  <conditionalFormatting sqref="E3:E10">
    <cfRule type="cellIs" dxfId="6" priority="15" operator="lessThanOrEqual">
      <formula>0</formula>
    </cfRule>
  </conditionalFormatting>
  <conditionalFormatting sqref="E13:E42">
    <cfRule type="cellIs" dxfId="5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4" priority="3" operator="greaterThan">
      <formula>0</formula>
    </cfRule>
  </conditionalFormatting>
  <conditionalFormatting sqref="E3 E5:E11">
    <cfRule type="cellIs" dxfId="3" priority="5" operator="lessThanOrEqual">
      <formula>0</formula>
    </cfRule>
  </conditionalFormatting>
  <conditionalFormatting sqref="E14:E15">
    <cfRule type="cellIs" dxfId="2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2026-04-20T15:31:10Z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