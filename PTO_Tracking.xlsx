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7DDABBB5-8DD6-42BB-84A5-5DEC991A2E7D}" xr6:coauthVersionLast="47" xr6:coauthVersionMax="47" xr10:uidLastSave="{00000000-0000-0000-0000-000000000000}"/>
  <bookViews>
    <workbookView xWindow="3900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'2026'!$B$13:$L$46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G20" i="7"/>
  <c r="C20" i="7"/>
  <c r="L20" i="7"/>
  <c r="F21" i="7"/>
  <c r="G21" i="7" s="1"/>
  <c r="E6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W44" i="7"/>
  <c r="V36" i="7"/>
  <c r="V37" i="7" s="1"/>
  <c r="V38" i="7" s="1"/>
  <c r="V39" i="7" s="1"/>
  <c r="V40" i="7" s="1"/>
  <c r="V41" i="7" s="1"/>
  <c r="V42" i="7" s="1"/>
  <c r="V43" i="7" s="1"/>
  <c r="V44" i="7" s="1"/>
  <c r="F17" i="7"/>
  <c r="G17" i="7" s="1"/>
  <c r="C17" i="7"/>
  <c r="L17" i="7" s="1"/>
  <c r="F23" i="7"/>
  <c r="G23" i="7" s="1"/>
  <c r="C23" i="7"/>
  <c r="L23" i="7" s="1"/>
  <c r="F36" i="7"/>
  <c r="G36" i="7" s="1"/>
  <c r="C36" i="7"/>
  <c r="L36" i="7" s="1"/>
  <c r="F37" i="7"/>
  <c r="G37" i="7" s="1"/>
  <c r="C37" i="7"/>
  <c r="L37" i="7" s="1"/>
  <c r="F34" i="7"/>
  <c r="G34" i="7" s="1"/>
  <c r="C34" i="7"/>
  <c r="L34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1" i="7"/>
  <c r="F31" i="7"/>
  <c r="G31" i="7" s="1"/>
  <c r="C32" i="7"/>
  <c r="F32" i="7"/>
  <c r="G32" i="7" s="1"/>
  <c r="C33" i="7"/>
  <c r="F33" i="7"/>
  <c r="G33" i="7" s="1"/>
  <c r="C35" i="7"/>
  <c r="F35" i="7"/>
  <c r="G35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F20" i="8" l="1"/>
  <c r="G14" i="8"/>
  <c r="E8" i="8" s="1"/>
  <c r="D8" i="8" s="1"/>
  <c r="D9" i="8" s="1"/>
  <c r="E7" i="8"/>
  <c r="D10" i="8"/>
  <c r="D11" i="8" s="1"/>
  <c r="F14" i="7"/>
  <c r="C14" i="7"/>
  <c r="L14" i="7" s="1"/>
  <c r="L35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6" i="7"/>
  <c r="E10" i="7"/>
  <c r="E11" i="7" s="1"/>
  <c r="L22" i="7"/>
  <c r="L40" i="7"/>
  <c r="L42" i="7"/>
  <c r="L43" i="7"/>
  <c r="L41" i="7"/>
  <c r="L39" i="7"/>
  <c r="L38" i="7"/>
  <c r="L26" i="7"/>
  <c r="L27" i="7"/>
  <c r="L28" i="7"/>
  <c r="L29" i="7"/>
  <c r="L30" i="7"/>
  <c r="L31" i="7"/>
  <c r="L32" i="7"/>
  <c r="L33" i="7"/>
  <c r="L25" i="7"/>
  <c r="L24" i="7"/>
  <c r="L45" i="7"/>
  <c r="L44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6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<sst xmlns="http://schemas.openxmlformats.org/spreadsheetml/2006/main" count="576" uniqueCount="91">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</sst>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106947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48</xdr:row>
      <xdr:rowOff>100853</xdr:rowOff>
    </xdr:from>
    <xdr:to>
      <xdr:col>27</xdr:col>
      <xdr:colOff>178174</xdr:colOff>
      <xdr:row>68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196</v>
      </c>
      <c r="D3" s="3">
        <f ca="1">C3-E3</f>
        <v>56</v>
      </c>
      <c r="E3" s="1">
        <f ca="1">C3 - C6 - SUMIF(H14:H19, "PTO", G14:G19)</f>
        <v>140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36</v>
      </c>
      <c r="D4" s="74"/>
      <c r="E4" s="75"/>
    </row>
    <row r="5" spans="2:12" ht="15.75" thickBot="1">
      <c r="B5" s="6" t="s">
        <v>5</v>
      </c>
      <c r="C5" s="7">
        <f ca="1">C3/8</f>
        <v>24.5</v>
      </c>
      <c r="D5" s="7">
        <f ca="1">D3/8</f>
        <v>7</v>
      </c>
      <c r="E5" s="8">
        <f ca="1">E3/8</f>
        <v>17.5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6"/>
  <sheetViews>
    <sheetView tabSelected="1" zoomScale="85" zoomScaleNormal="85" workbookViewId="0">
      <pane ySplit="13" topLeftCell="A14" activePane="bottomLeft" state="frozen"/>
      <selection pane="bottomLeft" activeCell="I20" sqref="I20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SUMIF(H14:H45, "PTO", G14:G45)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4</v>
      </c>
      <c r="E6" s="11">
        <f>C6 - SUMIF(H14:H45, "Sick", G14:G45)</f>
        <v>36</v>
      </c>
    </row>
    <row r="7" spans="2:12" ht="15.75" thickBot="1">
      <c r="B7" s="12" t="s">
        <v>16</v>
      </c>
      <c r="C7" s="13">
        <f>C6/8</f>
        <v>5</v>
      </c>
      <c r="D7" s="13">
        <f>D6/8</f>
        <v>0.5</v>
      </c>
      <c r="E7" s="14">
        <f>E6/8</f>
        <v>4.5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SUMIF(H14:H45, "Be You", G14:G45)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SUMIF(H14:H45, "Volunteer", G14:G45)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28</v>
      </c>
      <c r="K20" s="366" t="s">
        <v>90</v>
      </c>
      <c r="L20" s="42" t="str">
        <f ca="1">IF(C20 = "TBD", "TBD", IF(B20 = "", "IDK!!", IF(TODAY() &gt; B20, "Passed", IF(TODAY() = B20, "Today!!", "Upcoming"))))</f>
        <v>Upcoming</v>
      </c>
    </row>
    <row r="21" spans="2:12" ht="15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28</v>
      </c>
      <c r="K21" s="288" t="s">
        <v>90</v>
      </c>
      <c r="L21" s="67" t="str">
        <f ca="1">IF(C21 = "TBD", "TBD", IF(B21 = "", "IDK!!", IF(TODAY() &gt; B21, "Passed", IF(TODAY() = B21, "Today!!", "Upcoming"))))</f>
        <v>Upcoming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Upcoming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Upcoming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Upcoming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Upcoming</v>
      </c>
    </row>
    <row r="26" spans="2:12" ht="15.75" thickBot="1">
      <c r="B26" s="330">
        <v>46234</v>
      </c>
      <c r="C26" s="331" t="str">
        <f t="shared" ref="C26:C43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0" si="6">((E26 - D26) * 24)</f>
        <v>5</v>
      </c>
      <c r="G26" s="331">
        <f t="shared" ref="G26:G43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3" ca="1" si="8">IF(C26 = "TBD", "TBD", IF(B26 = "", "IDK!!", IF(TODAY() &gt; B26, "Passed", IF(TODAY() = B26, "Today!!", "Upcoming"))))</f>
        <v>Upcoming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Upcoming</v>
      </c>
    </row>
    <row r="28" spans="2:12" ht="15.75" thickBot="1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Upcoming</v>
      </c>
    </row>
    <row r="29" spans="2:12" ht="15.75" thickBot="1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12" ht="15.75" thickBot="1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12" ht="15.75" thickBot="1">
      <c r="B31" s="249">
        <v>46246</v>
      </c>
      <c r="C31" s="245" t="str">
        <f t="shared" si="5"/>
        <v>Wed</v>
      </c>
      <c r="D31" s="246">
        <v>0.45833333333333331</v>
      </c>
      <c r="E31" s="246">
        <v>0.66666666666666663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199" t="s">
        <v>20</v>
      </c>
      <c r="K31" s="248" t="s">
        <v>39</v>
      </c>
      <c r="L31" s="59" t="str">
        <f t="shared" ca="1" si="8"/>
        <v>Upcoming</v>
      </c>
    </row>
    <row r="32" spans="2:12" ht="15.75" thickBot="1">
      <c r="B32" s="250">
        <v>46247</v>
      </c>
      <c r="C32" s="245" t="str">
        <f t="shared" si="5"/>
        <v>Thu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39</v>
      </c>
      <c r="L32" s="59" t="str">
        <f t="shared" ca="1" si="8"/>
        <v>Upcoming</v>
      </c>
    </row>
    <row r="33" spans="2:23" ht="15.75" thickBot="1">
      <c r="B33" s="250">
        <v>46248</v>
      </c>
      <c r="C33" s="245" t="str">
        <f t="shared" si="5"/>
        <v>Fri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Upcoming</v>
      </c>
    </row>
    <row r="34" spans="2:23" ht="15.75" thickBot="1">
      <c r="B34" s="250">
        <v>46253</v>
      </c>
      <c r="C34" s="245" t="str">
        <f t="shared" si="5"/>
        <v>Wed</v>
      </c>
      <c r="D34" s="246">
        <v>0.29166666666666669</v>
      </c>
      <c r="E34" s="246">
        <v>0.5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71</v>
      </c>
      <c r="L34" s="59" t="str">
        <f t="shared" ca="1" si="8"/>
        <v>Upcoming</v>
      </c>
      <c r="U34" s="342" t="s">
        <v>74</v>
      </c>
      <c r="V34" s="98" t="s">
        <v>75</v>
      </c>
      <c r="W34" s="200" t="s">
        <v>2</v>
      </c>
    </row>
    <row r="35" spans="2:23">
      <c r="B35" s="105">
        <v>46269</v>
      </c>
      <c r="C35" s="170" t="str">
        <f t="shared" ref="C35:C37" si="9">IF(ISNUMBER(FIND("?", B35, 1)), "TBD", TEXT(B35, "ddd"))</f>
        <v>Fri</v>
      </c>
      <c r="D35" s="160">
        <v>0.45833333333333331</v>
      </c>
      <c r="E35" s="160">
        <v>0.66666666666666663</v>
      </c>
      <c r="F35" s="224">
        <f t="shared" ref="F35:F37" si="10">((E35 - D35) * 24)</f>
        <v>5</v>
      </c>
      <c r="G35" s="170">
        <f t="shared" ref="G35:G37" si="11">IF(F35 &gt; 4, (F35 - 1), F35)</f>
        <v>4</v>
      </c>
      <c r="H35" s="185" t="s">
        <v>4</v>
      </c>
      <c r="I35" s="196" t="s">
        <v>20</v>
      </c>
      <c r="J35" s="196" t="s">
        <v>20</v>
      </c>
      <c r="K35" s="210" t="s">
        <v>24</v>
      </c>
      <c r="L35" s="42" t="str">
        <f t="shared" ref="L35:L37" ca="1" si="12">IF(C35 = "TBD", "TBD", IF(B35 = "", "IDK!!", IF(TODAY() &gt; B35, "Passed", IF(TODAY() = B35, "Today!!", "Upcoming"))))</f>
        <v>Upcoming</v>
      </c>
      <c r="U35" s="348" t="s">
        <v>76</v>
      </c>
      <c r="V35" s="349">
        <v>2024</v>
      </c>
      <c r="W35" s="350">
        <v>160</v>
      </c>
    </row>
    <row r="36" spans="2:23">
      <c r="B36" s="322">
        <v>46275</v>
      </c>
      <c r="C36" s="323" t="str">
        <f t="shared" si="9"/>
        <v>Thu</v>
      </c>
      <c r="D36" s="324">
        <v>0.41666666666666669</v>
      </c>
      <c r="E36" s="324">
        <v>0.45833333333333331</v>
      </c>
      <c r="F36" s="325">
        <f t="shared" si="10"/>
        <v>0.99999999999999911</v>
      </c>
      <c r="G36" s="323">
        <f t="shared" si="11"/>
        <v>0.99999999999999911</v>
      </c>
      <c r="H36" s="326" t="s">
        <v>4</v>
      </c>
      <c r="I36" s="327" t="s">
        <v>20</v>
      </c>
      <c r="J36" s="327" t="s">
        <v>20</v>
      </c>
      <c r="K36" s="328" t="s">
        <v>72</v>
      </c>
      <c r="L36" s="67" t="str">
        <f t="shared" ca="1" si="12"/>
        <v>Upcoming</v>
      </c>
      <c r="U36" s="351" t="s">
        <v>77</v>
      </c>
      <c r="V36" s="352">
        <f>V35+1</f>
        <v>2025</v>
      </c>
      <c r="W36" s="353">
        <v>160</v>
      </c>
    </row>
    <row r="37" spans="2:23" ht="15.75" thickBot="1">
      <c r="B37" s="316">
        <v>46275</v>
      </c>
      <c r="C37" s="317" t="str">
        <f t="shared" si="9"/>
        <v>Thu</v>
      </c>
      <c r="D37" s="318">
        <v>0.29166666666666669</v>
      </c>
      <c r="E37" s="318">
        <v>0.41666666666666669</v>
      </c>
      <c r="F37" s="319">
        <f t="shared" si="10"/>
        <v>3</v>
      </c>
      <c r="G37" s="317">
        <f t="shared" si="11"/>
        <v>3</v>
      </c>
      <c r="H37" s="320" t="s">
        <v>10</v>
      </c>
      <c r="I37" s="244" t="s">
        <v>20</v>
      </c>
      <c r="J37" s="244" t="s">
        <v>20</v>
      </c>
      <c r="K37" s="321" t="s">
        <v>72</v>
      </c>
      <c r="L37" s="60" t="str">
        <f t="shared" ca="1" si="12"/>
        <v>Upcoming</v>
      </c>
      <c r="U37" s="343" t="s">
        <v>78</v>
      </c>
      <c r="V37" s="70">
        <f>V36+1</f>
        <v>2026</v>
      </c>
      <c r="W37" s="344">
        <v>160</v>
      </c>
    </row>
    <row r="38" spans="2:23" ht="15.75" thickBot="1">
      <c r="B38" s="124">
        <v>46353</v>
      </c>
      <c r="C38" s="173" t="str">
        <f t="shared" si="5"/>
        <v>Fri</v>
      </c>
      <c r="D38" s="155">
        <v>0.29166666666666669</v>
      </c>
      <c r="E38" s="155">
        <v>0.66666666666666663</v>
      </c>
      <c r="F38" s="226">
        <f t="shared" si="6"/>
        <v>8.9999999999999982</v>
      </c>
      <c r="G38" s="173">
        <f t="shared" si="7"/>
        <v>7.9999999999999982</v>
      </c>
      <c r="H38" s="188" t="s">
        <v>4</v>
      </c>
      <c r="I38" s="200" t="s">
        <v>20</v>
      </c>
      <c r="J38" s="200" t="s">
        <v>20</v>
      </c>
      <c r="K38" s="269" t="s">
        <v>14</v>
      </c>
      <c r="L38" s="192" t="str">
        <f t="shared" ca="1" si="8"/>
        <v>Upcoming</v>
      </c>
      <c r="U38" s="343" t="s">
        <v>79</v>
      </c>
      <c r="V38" s="70">
        <f t="shared" ref="V38:V44" si="13">V37+1</f>
        <v>2027</v>
      </c>
      <c r="W38" s="344">
        <v>160</v>
      </c>
    </row>
    <row r="39" spans="2:23">
      <c r="B39" s="112">
        <v>46380</v>
      </c>
      <c r="C39" s="264" t="str">
        <f t="shared" si="5"/>
        <v>Thu</v>
      </c>
      <c r="D39" s="262">
        <v>0.29166666666666669</v>
      </c>
      <c r="E39" s="262">
        <v>0.66666666666666663</v>
      </c>
      <c r="F39" s="263">
        <f t="shared" si="6"/>
        <v>8.9999999999999982</v>
      </c>
      <c r="G39" s="264">
        <f t="shared" si="7"/>
        <v>7.9999999999999982</v>
      </c>
      <c r="H39" s="265" t="s">
        <v>4</v>
      </c>
      <c r="I39" s="196" t="s">
        <v>20</v>
      </c>
      <c r="J39" s="196" t="s">
        <v>20</v>
      </c>
      <c r="K39" s="266" t="s">
        <v>60</v>
      </c>
      <c r="L39" s="42" t="str">
        <f t="shared" ca="1" si="8"/>
        <v>Upcoming</v>
      </c>
      <c r="U39" s="343" t="s">
        <v>80</v>
      </c>
      <c r="V39" s="70">
        <f t="shared" si="13"/>
        <v>2028</v>
      </c>
      <c r="W39" s="344">
        <v>176</v>
      </c>
    </row>
    <row r="40" spans="2:23">
      <c r="B40" s="120">
        <v>46384</v>
      </c>
      <c r="C40" s="274" t="str">
        <f t="shared" si="5"/>
        <v>Mon</v>
      </c>
      <c r="D40" s="275">
        <v>0.29166666666666669</v>
      </c>
      <c r="E40" s="275">
        <v>0.66666666666666663</v>
      </c>
      <c r="F40" s="276">
        <f t="shared" si="6"/>
        <v>8.9999999999999982</v>
      </c>
      <c r="G40" s="274">
        <f t="shared" si="7"/>
        <v>7.9999999999999982</v>
      </c>
      <c r="H40" s="277" t="s">
        <v>4</v>
      </c>
      <c r="I40" s="199" t="s">
        <v>20</v>
      </c>
      <c r="J40" s="199" t="s">
        <v>20</v>
      </c>
      <c r="K40" s="278" t="s">
        <v>60</v>
      </c>
      <c r="L40" s="59" t="str">
        <f t="shared" ca="1" si="8"/>
        <v>Upcoming</v>
      </c>
      <c r="U40" s="343" t="s">
        <v>81</v>
      </c>
      <c r="V40" s="70">
        <f t="shared" si="13"/>
        <v>2029</v>
      </c>
      <c r="W40" s="344">
        <v>176</v>
      </c>
    </row>
    <row r="41" spans="2:23">
      <c r="B41" s="270">
        <v>46385</v>
      </c>
      <c r="C41" s="271" t="str">
        <f t="shared" si="5"/>
        <v>Tue</v>
      </c>
      <c r="D41" s="275">
        <v>0.29166666666666669</v>
      </c>
      <c r="E41" s="275">
        <v>0.66666666666666663</v>
      </c>
      <c r="F41" s="276">
        <f t="shared" ref="F41:F43" si="14">((E41 - D41) * 24)</f>
        <v>8.9999999999999982</v>
      </c>
      <c r="G41" s="274">
        <f t="shared" si="7"/>
        <v>7.9999999999999982</v>
      </c>
      <c r="H41" s="272" t="s">
        <v>4</v>
      </c>
      <c r="I41" s="198" t="s">
        <v>20</v>
      </c>
      <c r="J41" s="198" t="s">
        <v>20</v>
      </c>
      <c r="K41" s="273" t="s">
        <v>60</v>
      </c>
      <c r="L41" s="193" t="str">
        <f t="shared" ca="1" si="8"/>
        <v>Upcoming</v>
      </c>
      <c r="U41" s="343" t="s">
        <v>82</v>
      </c>
      <c r="V41" s="70">
        <f t="shared" si="13"/>
        <v>2030</v>
      </c>
      <c r="W41" s="344">
        <v>176</v>
      </c>
    </row>
    <row r="42" spans="2:23">
      <c r="B42" s="270">
        <v>46386</v>
      </c>
      <c r="C42" s="271" t="str">
        <f t="shared" si="5"/>
        <v>Wed</v>
      </c>
      <c r="D42" s="275">
        <v>0.29166666666666669</v>
      </c>
      <c r="E42" s="275">
        <v>0.66666666666666663</v>
      </c>
      <c r="F42" s="276">
        <f t="shared" si="14"/>
        <v>8.9999999999999982</v>
      </c>
      <c r="G42" s="274">
        <f t="shared" si="7"/>
        <v>7.9999999999999982</v>
      </c>
      <c r="H42" s="272" t="s">
        <v>4</v>
      </c>
      <c r="I42" s="198" t="s">
        <v>20</v>
      </c>
      <c r="J42" s="198" t="s">
        <v>20</v>
      </c>
      <c r="K42" s="273" t="s">
        <v>60</v>
      </c>
      <c r="L42" s="193" t="str">
        <f t="shared" ca="1" si="8"/>
        <v>Upcoming</v>
      </c>
      <c r="U42" s="343" t="s">
        <v>83</v>
      </c>
      <c r="V42" s="70">
        <f t="shared" si="13"/>
        <v>2031</v>
      </c>
      <c r="W42" s="344">
        <v>176</v>
      </c>
    </row>
    <row r="43" spans="2:23" ht="15.75" thickBot="1">
      <c r="B43" s="113">
        <v>46387</v>
      </c>
      <c r="C43" s="271" t="str">
        <f t="shared" si="5"/>
        <v>Thu</v>
      </c>
      <c r="D43" s="275">
        <v>0.29166666666666669</v>
      </c>
      <c r="E43" s="275">
        <v>0.66666666666666663</v>
      </c>
      <c r="F43" s="276">
        <f t="shared" si="14"/>
        <v>8.9999999999999982</v>
      </c>
      <c r="G43" s="274">
        <f t="shared" si="7"/>
        <v>7.9999999999999982</v>
      </c>
      <c r="H43" s="267" t="s">
        <v>4</v>
      </c>
      <c r="I43" s="244" t="s">
        <v>20</v>
      </c>
      <c r="J43" s="244" t="s">
        <v>20</v>
      </c>
      <c r="K43" s="268" t="s">
        <v>60</v>
      </c>
      <c r="L43" s="193" t="str">
        <f t="shared" ca="1" si="8"/>
        <v>Upcoming</v>
      </c>
      <c r="U43" s="343" t="s">
        <v>84</v>
      </c>
      <c r="V43" s="70">
        <f t="shared" si="13"/>
        <v>2032</v>
      </c>
      <c r="W43" s="344">
        <v>176</v>
      </c>
    </row>
    <row r="44" spans="2:23" ht="15.75" thickBot="1">
      <c r="B44" s="102"/>
      <c r="C44" s="165" t="str">
        <f t="shared" ref="C44:C45" si="15">IF(ISNUMBER(FIND("?", B44, 1)), "TBD", TEXT(B44, "ddd"))</f>
        <v>Sat</v>
      </c>
      <c r="D44" s="157"/>
      <c r="E44" s="157"/>
      <c r="F44" s="220">
        <f t="shared" ref="F44:F45" si="16">((E44 - D44) * 24)</f>
        <v>0</v>
      </c>
      <c r="G44" s="217">
        <f t="shared" ref="G44:G45" si="17">IF(F44 &gt; 4, (F44 - 1), F44)</f>
        <v>0</v>
      </c>
      <c r="H44" s="180"/>
      <c r="I44" s="197" t="s">
        <v>66</v>
      </c>
      <c r="J44" s="197" t="s">
        <v>66</v>
      </c>
      <c r="K44" s="205"/>
      <c r="L44" s="252" t="str">
        <f t="shared" ref="L44:L45" ca="1" si="18">IF(C44 = "TBD", "TBD", IF(B44 = "", "IDK!!", IF(TODAY() &gt; B44, "Passed", IF(TODAY() = B44, "Today!!", "Upcoming"))))</f>
        <v>IDK!!</v>
      </c>
      <c r="U44" s="345" t="s">
        <v>85</v>
      </c>
      <c r="V44" s="346">
        <f t="shared" si="13"/>
        <v>2033</v>
      </c>
      <c r="W44" s="347">
        <f>192 + 10</f>
        <v>202</v>
      </c>
    </row>
    <row r="45" spans="2:23" ht="15.75" thickBot="1">
      <c r="B45" s="259"/>
      <c r="C45" s="253" t="str">
        <f t="shared" si="15"/>
        <v>Sat</v>
      </c>
      <c r="D45" s="260"/>
      <c r="E45" s="260"/>
      <c r="F45" s="261">
        <f t="shared" si="16"/>
        <v>0</v>
      </c>
      <c r="G45" s="253">
        <f t="shared" si="17"/>
        <v>0</v>
      </c>
      <c r="H45" s="254"/>
      <c r="I45" s="202" t="s">
        <v>66</v>
      </c>
      <c r="J45" s="202" t="s">
        <v>66</v>
      </c>
      <c r="K45" s="255"/>
      <c r="L45" s="251" t="str">
        <f t="shared" ca="1" si="18"/>
        <v>IDK!!</v>
      </c>
    </row>
    <row r="46" spans="2:23" ht="15.75" thickBot="1">
      <c r="B46" s="86" t="s">
        <v>11</v>
      </c>
      <c r="C46" s="303"/>
      <c r="D46" s="304"/>
      <c r="E46" s="305"/>
      <c r="F46" s="228">
        <f>SUM(F14:F45)</f>
        <v>171.5</v>
      </c>
      <c r="G46" s="256">
        <f>SUM(G14:G45)</f>
        <v>148.5</v>
      </c>
      <c r="H46" s="301"/>
      <c r="I46" s="302"/>
      <c r="J46" s="302"/>
      <c r="K46" s="302"/>
      <c r="L46" s="302"/>
    </row>
  </sheetData>
  <autoFilter ref="B13:K46" xr:uid="{4B51B8F7-4ACE-45CA-965B-2AD2897F333A}"/>
  <phoneticPr fontId="5" type="noConversion"/>
  <conditionalFormatting sqref="B14:L45">
    <cfRule type="expression" dxfId="20" priority="2">
      <formula>$L14="Passed"</formula>
    </cfRule>
  </conditionalFormatting>
  <conditionalFormatting sqref="C14:F45 L14:L45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5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2026-06-22T18:04:18Z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