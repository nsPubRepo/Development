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FFC3FE87-81C3-4206-B704-97BB55D48CBE}" xr6:coauthVersionLast="47" xr6:coauthVersionMax="47" xr10:uidLastSave="{00000000-0000-0000-0000-000000000000}"/>
  <bookViews>
    <workbookView xWindow="3825" yWindow="0" windowWidth="28800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'2026'!$B$13:$K$48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7" l="1"/>
  <c r="G39" i="7" s="1"/>
  <c r="C39" i="7"/>
  <c r="L39" i="7" s="1"/>
  <c r="F31" i="7"/>
  <c r="G31" i="7" s="1"/>
  <c r="C31" i="7"/>
  <c r="L31" i="7" s="1"/>
  <c r="F20" i="7"/>
  <c r="G20" i="7" s="1"/>
  <c r="C20" i="7"/>
  <c r="L20" i="7" s="1"/>
  <c r="F21" i="7"/>
  <c r="G21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P48" i="7"/>
  <c r="O40" i="7"/>
  <c r="O41" i="7" s="1"/>
  <c r="O42" i="7" s="1"/>
  <c r="O43" i="7" s="1"/>
  <c r="O44" i="7" s="1"/>
  <c r="O45" i="7" s="1"/>
  <c r="O46" i="7" s="1"/>
  <c r="O47" i="7" s="1"/>
  <c r="O48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C46" i="7"/>
  <c r="F46" i="7"/>
  <c r="G46" i="7" s="1"/>
  <c r="C47" i="7"/>
  <c r="F47" i="7"/>
  <c r="G47" i="7" s="1"/>
  <c r="E6" i="7" l="1"/>
  <c r="F20" i="8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48" i="7"/>
  <c r="E10" i="7"/>
  <c r="E11" i="7" s="1"/>
  <c r="L22" i="7"/>
  <c r="L42" i="7"/>
  <c r="L44" i="7"/>
  <c r="L45" i="7"/>
  <c r="L43" i="7"/>
  <c r="L41" i="7"/>
  <c r="L40" i="7"/>
  <c r="L26" i="7"/>
  <c r="L27" i="7"/>
  <c r="L28" i="7"/>
  <c r="L29" i="7"/>
  <c r="L30" i="7"/>
  <c r="L32" i="7"/>
  <c r="L33" i="7"/>
  <c r="L34" i="7"/>
  <c r="L25" i="7"/>
  <c r="L24" i="7"/>
  <c r="L47" i="7"/>
  <c r="L46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8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<sst xmlns="http://schemas.openxmlformats.org/spreadsheetml/2006/main" count="584" uniqueCount="94">
  <si>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</si>
  <si>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</si>
  <si>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</si>
  <si>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</si>
  <si>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</si>
  <si>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</si>
  <si>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</si>
  <si>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</si>
  <si>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</si>
  <si>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</si>
  <si>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</si>
  <si>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</si>
  <si>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</si>
  <si>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</si>
  <si>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</si>
  <si>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</si>
  <si>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</si>
  <si>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</si>
  <si>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</si>
  <si>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</si>
  <si>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</si>
  <si>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</si>
  <si>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</si>
  <si>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</si>
  <si>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</si>
  <si>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</si>
  <si>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</si>
  <si>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</si>
  <si>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</si>
  <si>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</si>
  <si>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</si>
  <si>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</si>
  <si>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</si>
  <si>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</si>
  <si>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</si>
  <si>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</si>
  <si>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</si>
  <si>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</si>
  <si>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</si>
  <si>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</si>
  <si>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</si>
  <si>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</si>
  <si>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</si>
  <si>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</si>
  <si>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</si>
  <si>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</si>
  <si>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</si>
  <si>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</si>
  <si>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</si>
  <si>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</si>
  <si>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</si>
  <si>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</si>
  <si>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</si>
  <si>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</si>
  <si>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</si>
  <si>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</si>
  <si>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</si>
  <si>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</si>
  <si>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</si>
  <si>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</si>
  <si>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</si>
  <si>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</si>
  <si>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</si>
  <si>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</si>
  <si>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</si>
  <si>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</si>
  <si>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</si>
  <si>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</si>
  <si>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</si>
  <si>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</si>
  <si>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</si>
  <si>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</si>
  <si>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</si>
  <si>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</si>
  <si>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</si>
  <si>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</si>
  <si>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</si>
  <si>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</si>
  <si>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</si>
  <si>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</si>
  <si>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</si>
  <si>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</si>
  <si>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</si>
  <si>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</si>
  <si>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</si>
  <si>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</si>
  <si>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</si>
  <si>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</si>
  <si>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</si>
  <si>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</si>
  <si>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</si>
  <si>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</si>
  <si>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</si>
  <si>
    <t>Sick (vomiting on way home from doc appt)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</si>
</sst>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8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10" borderId="72" xfId="0" applyFill="1" applyBorder="1" applyAlignment="1">
      <alignment horizontal="center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50</xdr:row>
      <xdr:rowOff>100853</xdr:rowOff>
    </xdr:from>
    <xdr:to>
      <xdr:col>27</xdr:col>
      <xdr:colOff>178175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 activeCell="B14" sqref="B14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188</v>
      </c>
      <c r="D3" s="3">
        <f ca="1">C3-E3</f>
        <v>56</v>
      </c>
      <c r="E3" s="1">
        <f ca="1">C3 - C6 - SUMIF(H14:H19, "PTO", G14:G19)</f>
        <v>132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28.000000000000004</v>
      </c>
      <c r="D4" s="74"/>
      <c r="E4" s="75"/>
    </row>
    <row r="5" spans="2:12" ht="15.75" thickBot="1">
      <c r="B5" s="6" t="s">
        <v>5</v>
      </c>
      <c r="C5" s="7">
        <f ca="1">C3/8</f>
        <v>23.5</v>
      </c>
      <c r="D5" s="7">
        <f ca="1">D3/8</f>
        <v>7</v>
      </c>
      <c r="E5" s="8">
        <f ca="1">E3/8</f>
        <v>16.5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48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SUMIF(H14:H47, "PTO", G14:G47)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11.999999999999996</v>
      </c>
      <c r="E6" s="11">
        <f>C6 - SUMIF(H14:H47, "Sick", G14:G47)</f>
        <v>28.000000000000004</v>
      </c>
    </row>
    <row r="7" spans="2:12" ht="15.75" thickBot="1">
      <c r="B7" s="12" t="s">
        <v>16</v>
      </c>
      <c r="C7" s="13">
        <f>C6/8</f>
        <v>5</v>
      </c>
      <c r="D7" s="13">
        <f>D6/8</f>
        <v>1.4999999999999996</v>
      </c>
      <c r="E7" s="14">
        <f>E6/8</f>
        <v>3.5000000000000004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SUMIF(H14:H47, "Volunteer", G14:G47)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20</v>
      </c>
      <c r="K20" s="366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20</v>
      </c>
      <c r="K21" s="366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Passed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Passed</v>
      </c>
    </row>
    <row r="26" spans="2:12" ht="15.75" thickBot="1">
      <c r="B26" s="330">
        <v>46234</v>
      </c>
      <c r="C26" s="331" t="str">
        <f t="shared" ref="C26:C45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2" si="6">((E26 - D26) * 24)</f>
        <v>5</v>
      </c>
      <c r="G26" s="331">
        <f t="shared" ref="G26:G45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5" ca="1" si="8">IF(C26 = "TBD", "TBD", IF(B26 = "", "IDK!!", IF(TODAY() &gt; B26, "Passed", IF(TODAY() = B26, "Today!!", "Upcoming"))))</f>
        <v>Passed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 ht="15.75" thickBot="1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Passed</v>
      </c>
    </row>
    <row r="37" spans="2:16" ht="15.75" thickBot="1">
      <c r="B37" s="322">
        <v>46275</v>
      </c>
      <c r="C37" s="323" t="str">
        <f t="shared" si="9"/>
        <v>Thu</v>
      </c>
      <c r="D37" s="324">
        <v>0.41666666666666669</v>
      </c>
      <c r="E37" s="324">
        <v>0.45833333333333331</v>
      </c>
      <c r="F37" s="325">
        <f t="shared" si="10"/>
        <v>0.99999999999999911</v>
      </c>
      <c r="G37" s="323">
        <f t="shared" si="11"/>
        <v>0.99999999999999911</v>
      </c>
      <c r="H37" s="326" t="s">
        <v>4</v>
      </c>
      <c r="I37" s="327" t="s">
        <v>20</v>
      </c>
      <c r="J37" s="327" t="s">
        <v>20</v>
      </c>
      <c r="K37" s="328" t="s">
        <v>72</v>
      </c>
      <c r="L37" s="67" t="str">
        <f t="shared" ca="1" si="12"/>
        <v>Passed</v>
      </c>
      <c r="N37" s="342" t="s">
        <v>74</v>
      </c>
      <c r="O37" s="98" t="s">
        <v>75</v>
      </c>
      <c r="P37" s="200" t="s">
        <v>2</v>
      </c>
    </row>
    <row r="38" spans="2:16">
      <c r="B38" s="107">
        <v>46275</v>
      </c>
      <c r="C38" s="172" t="str">
        <f t="shared" si="9"/>
        <v>Thu</v>
      </c>
      <c r="D38" s="162">
        <v>0.29166666666666669</v>
      </c>
      <c r="E38" s="162">
        <v>0.41666666666666669</v>
      </c>
      <c r="F38" s="367">
        <f t="shared" si="10"/>
        <v>3</v>
      </c>
      <c r="G38" s="172">
        <f t="shared" si="11"/>
        <v>3</v>
      </c>
      <c r="H38" s="187" t="s">
        <v>10</v>
      </c>
      <c r="I38" s="202" t="s">
        <v>20</v>
      </c>
      <c r="J38" s="202" t="s">
        <v>20</v>
      </c>
      <c r="K38" s="212" t="s">
        <v>72</v>
      </c>
      <c r="L38" s="251" t="str">
        <f t="shared" ca="1" si="12"/>
        <v>Passed</v>
      </c>
      <c r="N38" s="348" t="s">
        <v>76</v>
      </c>
      <c r="O38" s="349">
        <v>2024</v>
      </c>
      <c r="P38" s="350">
        <v>160</v>
      </c>
    </row>
    <row r="39" spans="2:16" ht="15.75" thickBot="1">
      <c r="B39" s="316">
        <v>46275</v>
      </c>
      <c r="C39" s="317" t="str">
        <f t="shared" ref="C39" si="13">IF(ISNUMBER(FIND("?", B39, 1)), "TBD", TEXT(B39, "ddd"))</f>
        <v>Thu</v>
      </c>
      <c r="D39" s="318">
        <v>0.5</v>
      </c>
      <c r="E39" s="318">
        <v>0.66666666666666663</v>
      </c>
      <c r="F39" s="319">
        <f t="shared" ref="F39" si="14">((E39 - D39) * 24)</f>
        <v>3.9999999999999991</v>
      </c>
      <c r="G39" s="317">
        <f t="shared" ref="G39" si="15">IF(F39 &gt; 4, (F39 - 1), F39)</f>
        <v>3.9999999999999991</v>
      </c>
      <c r="H39" s="320" t="s">
        <v>32</v>
      </c>
      <c r="I39" s="244" t="s">
        <v>20</v>
      </c>
      <c r="J39" s="244" t="s">
        <v>20</v>
      </c>
      <c r="K39" s="321" t="s">
        <v>93</v>
      </c>
      <c r="L39" s="60" t="str">
        <f t="shared" ref="L39" ca="1" si="16">IF(C39 = "TBD", "TBD", IF(B39 = "", "IDK!!", IF(TODAY() &gt; B39, "Passed", IF(TODAY() = B39, "Today!!", "Upcoming"))))</f>
        <v>Passed</v>
      </c>
      <c r="N39" s="351"/>
      <c r="O39" s="352"/>
      <c r="P39" s="353"/>
    </row>
    <row r="40" spans="2:16" ht="15.75" thickBot="1">
      <c r="B40" s="124">
        <v>46353</v>
      </c>
      <c r="C40" s="173" t="str">
        <f t="shared" si="5"/>
        <v>Fri</v>
      </c>
      <c r="D40" s="155">
        <v>0.29166666666666669</v>
      </c>
      <c r="E40" s="155">
        <v>0.66666666666666663</v>
      </c>
      <c r="F40" s="226">
        <f t="shared" si="6"/>
        <v>8.9999999999999982</v>
      </c>
      <c r="G40" s="173">
        <f t="shared" si="7"/>
        <v>7.9999999999999982</v>
      </c>
      <c r="H40" s="188" t="s">
        <v>4</v>
      </c>
      <c r="I40" s="200" t="s">
        <v>20</v>
      </c>
      <c r="J40" s="200" t="s">
        <v>20</v>
      </c>
      <c r="K40" s="269" t="s">
        <v>14</v>
      </c>
      <c r="L40" s="192" t="str">
        <f t="shared" ca="1" si="8"/>
        <v>Upcoming</v>
      </c>
      <c r="N40" s="351" t="s">
        <v>77</v>
      </c>
      <c r="O40" s="352">
        <f>O38+1</f>
        <v>2025</v>
      </c>
      <c r="P40" s="353">
        <v>160</v>
      </c>
    </row>
    <row r="41" spans="2:16">
      <c r="B41" s="112">
        <v>46380</v>
      </c>
      <c r="C41" s="264" t="str">
        <f t="shared" si="5"/>
        <v>Thu</v>
      </c>
      <c r="D41" s="262">
        <v>0.29166666666666669</v>
      </c>
      <c r="E41" s="262">
        <v>0.66666666666666663</v>
      </c>
      <c r="F41" s="263">
        <f t="shared" si="6"/>
        <v>8.9999999999999982</v>
      </c>
      <c r="G41" s="264">
        <f t="shared" si="7"/>
        <v>7.9999999999999982</v>
      </c>
      <c r="H41" s="265" t="s">
        <v>4</v>
      </c>
      <c r="I41" s="196" t="s">
        <v>20</v>
      </c>
      <c r="J41" s="196" t="s">
        <v>20</v>
      </c>
      <c r="K41" s="266" t="s">
        <v>60</v>
      </c>
      <c r="L41" s="42" t="str">
        <f t="shared" ca="1" si="8"/>
        <v>Upcoming</v>
      </c>
      <c r="N41" s="343" t="s">
        <v>78</v>
      </c>
      <c r="O41" s="70">
        <f>O40+1</f>
        <v>2026</v>
      </c>
      <c r="P41" s="344">
        <v>160</v>
      </c>
    </row>
    <row r="42" spans="2:16">
      <c r="B42" s="120">
        <v>46384</v>
      </c>
      <c r="C42" s="274" t="str">
        <f t="shared" si="5"/>
        <v>Mon</v>
      </c>
      <c r="D42" s="275">
        <v>0.29166666666666669</v>
      </c>
      <c r="E42" s="275">
        <v>0.66666666666666663</v>
      </c>
      <c r="F42" s="276">
        <f t="shared" si="6"/>
        <v>8.9999999999999982</v>
      </c>
      <c r="G42" s="274">
        <f t="shared" si="7"/>
        <v>7.9999999999999982</v>
      </c>
      <c r="H42" s="277" t="s">
        <v>4</v>
      </c>
      <c r="I42" s="199" t="s">
        <v>20</v>
      </c>
      <c r="J42" s="199" t="s">
        <v>20</v>
      </c>
      <c r="K42" s="278" t="s">
        <v>60</v>
      </c>
      <c r="L42" s="59" t="str">
        <f t="shared" ca="1" si="8"/>
        <v>Upcoming</v>
      </c>
      <c r="N42" s="343" t="s">
        <v>79</v>
      </c>
      <c r="O42" s="70">
        <f t="shared" ref="O42:O48" si="17">O41+1</f>
        <v>2027</v>
      </c>
      <c r="P42" s="344">
        <v>160</v>
      </c>
    </row>
    <row r="43" spans="2:16">
      <c r="B43" s="270">
        <v>46385</v>
      </c>
      <c r="C43" s="271" t="str">
        <f t="shared" si="5"/>
        <v>Tue</v>
      </c>
      <c r="D43" s="275">
        <v>0.29166666666666669</v>
      </c>
      <c r="E43" s="275">
        <v>0.66666666666666663</v>
      </c>
      <c r="F43" s="276">
        <f t="shared" ref="F43:F45" si="18">((E43 - D43) * 24)</f>
        <v>8.9999999999999982</v>
      </c>
      <c r="G43" s="274">
        <f t="shared" si="7"/>
        <v>7.9999999999999982</v>
      </c>
      <c r="H43" s="272" t="s">
        <v>4</v>
      </c>
      <c r="I43" s="198" t="s">
        <v>20</v>
      </c>
      <c r="J43" s="198" t="s">
        <v>20</v>
      </c>
      <c r="K43" s="273" t="s">
        <v>60</v>
      </c>
      <c r="L43" s="193" t="str">
        <f t="shared" ca="1" si="8"/>
        <v>Upcoming</v>
      </c>
      <c r="N43" s="343" t="s">
        <v>80</v>
      </c>
      <c r="O43" s="70">
        <f t="shared" si="17"/>
        <v>2028</v>
      </c>
      <c r="P43" s="344">
        <v>176</v>
      </c>
    </row>
    <row r="44" spans="2:16">
      <c r="B44" s="270">
        <v>46386</v>
      </c>
      <c r="C44" s="271" t="str">
        <f t="shared" si="5"/>
        <v>Wed</v>
      </c>
      <c r="D44" s="275">
        <v>0.29166666666666669</v>
      </c>
      <c r="E44" s="275">
        <v>0.66666666666666663</v>
      </c>
      <c r="F44" s="276">
        <f t="shared" si="18"/>
        <v>8.9999999999999982</v>
      </c>
      <c r="G44" s="274">
        <f t="shared" si="7"/>
        <v>7.9999999999999982</v>
      </c>
      <c r="H44" s="272" t="s">
        <v>4</v>
      </c>
      <c r="I44" s="198" t="s">
        <v>20</v>
      </c>
      <c r="J44" s="198" t="s">
        <v>20</v>
      </c>
      <c r="K44" s="273" t="s">
        <v>60</v>
      </c>
      <c r="L44" s="193" t="str">
        <f t="shared" ca="1" si="8"/>
        <v>Upcoming</v>
      </c>
      <c r="N44" s="343" t="s">
        <v>81</v>
      </c>
      <c r="O44" s="70">
        <f t="shared" si="17"/>
        <v>2029</v>
      </c>
      <c r="P44" s="344">
        <v>176</v>
      </c>
    </row>
    <row r="45" spans="2:16" ht="15.75" thickBot="1">
      <c r="B45" s="113">
        <v>46387</v>
      </c>
      <c r="C45" s="271" t="str">
        <f t="shared" si="5"/>
        <v>Thu</v>
      </c>
      <c r="D45" s="275">
        <v>0.29166666666666669</v>
      </c>
      <c r="E45" s="275">
        <v>0.66666666666666663</v>
      </c>
      <c r="F45" s="276">
        <f t="shared" si="18"/>
        <v>8.9999999999999982</v>
      </c>
      <c r="G45" s="274">
        <f t="shared" si="7"/>
        <v>7.9999999999999982</v>
      </c>
      <c r="H45" s="267" t="s">
        <v>4</v>
      </c>
      <c r="I45" s="244" t="s">
        <v>20</v>
      </c>
      <c r="J45" s="244" t="s">
        <v>20</v>
      </c>
      <c r="K45" s="268" t="s">
        <v>60</v>
      </c>
      <c r="L45" s="193" t="str">
        <f t="shared" ca="1" si="8"/>
        <v>Upcoming</v>
      </c>
      <c r="N45" s="343" t="s">
        <v>82</v>
      </c>
      <c r="O45" s="70">
        <f t="shared" si="17"/>
        <v>2030</v>
      </c>
      <c r="P45" s="344">
        <v>176</v>
      </c>
    </row>
    <row r="46" spans="2:16">
      <c r="B46" s="102"/>
      <c r="C46" s="165" t="str">
        <f t="shared" ref="C46:C47" si="19">IF(ISNUMBER(FIND("?", B46, 1)), "TBD", TEXT(B46, "ddd"))</f>
        <v>Sat</v>
      </c>
      <c r="D46" s="157"/>
      <c r="E46" s="157"/>
      <c r="F46" s="220">
        <f t="shared" ref="F46:F47" si="20">((E46 - D46) * 24)</f>
        <v>0</v>
      </c>
      <c r="G46" s="217">
        <f t="shared" ref="G46:G47" si="21">IF(F46 &gt; 4, (F46 - 1), F46)</f>
        <v>0</v>
      </c>
      <c r="H46" s="180"/>
      <c r="I46" s="197" t="s">
        <v>66</v>
      </c>
      <c r="J46" s="197" t="s">
        <v>66</v>
      </c>
      <c r="K46" s="205"/>
      <c r="L46" s="252" t="str">
        <f t="shared" ref="L46:L47" ca="1" si="22">IF(C46 = "TBD", "TBD", IF(B46 = "", "IDK!!", IF(TODAY() &gt; B46, "Passed", IF(TODAY() = B46, "Today!!", "Upcoming"))))</f>
        <v>IDK!!</v>
      </c>
      <c r="N46" s="343" t="s">
        <v>83</v>
      </c>
      <c r="O46" s="70">
        <f t="shared" si="17"/>
        <v>2031</v>
      </c>
      <c r="P46" s="344">
        <v>176</v>
      </c>
    </row>
    <row r="47" spans="2:16" ht="15.75" thickBot="1">
      <c r="B47" s="259"/>
      <c r="C47" s="253" t="str">
        <f t="shared" si="19"/>
        <v>Sat</v>
      </c>
      <c r="D47" s="260"/>
      <c r="E47" s="260"/>
      <c r="F47" s="261">
        <f t="shared" si="20"/>
        <v>0</v>
      </c>
      <c r="G47" s="253">
        <f t="shared" si="21"/>
        <v>0</v>
      </c>
      <c r="H47" s="254"/>
      <c r="I47" s="202" t="s">
        <v>66</v>
      </c>
      <c r="J47" s="202" t="s">
        <v>66</v>
      </c>
      <c r="K47" s="255"/>
      <c r="L47" s="251" t="str">
        <f t="shared" ca="1" si="22"/>
        <v>IDK!!</v>
      </c>
      <c r="N47" s="343" t="s">
        <v>84</v>
      </c>
      <c r="O47" s="70">
        <f t="shared" si="17"/>
        <v>2032</v>
      </c>
      <c r="P47" s="344">
        <v>176</v>
      </c>
    </row>
    <row r="48" spans="2:16" ht="15.75" thickBot="1">
      <c r="B48" s="86" t="s">
        <v>11</v>
      </c>
      <c r="C48" s="303"/>
      <c r="D48" s="304"/>
      <c r="E48" s="305"/>
      <c r="F48" s="228">
        <f>SUM(F14:F47)</f>
        <v>179.5</v>
      </c>
      <c r="G48" s="256">
        <f>SUM(G14:G47)</f>
        <v>156.5</v>
      </c>
      <c r="H48" s="301"/>
      <c r="I48" s="302"/>
      <c r="J48" s="302"/>
      <c r="K48" s="302"/>
      <c r="L48" s="302"/>
      <c r="N48" s="345" t="s">
        <v>85</v>
      </c>
      <c r="O48" s="346">
        <f t="shared" si="17"/>
        <v>2033</v>
      </c>
      <c r="P48" s="347">
        <f>192 + 10</f>
        <v>202</v>
      </c>
    </row>
  </sheetData>
  <autoFilter ref="B13:K48" xr:uid="{4B51B8F7-4ACE-45CA-965B-2AD2897F333A}"/>
  <phoneticPr fontId="5" type="noConversion"/>
  <conditionalFormatting sqref="B14:L47">
    <cfRule type="expression" dxfId="20" priority="2">
      <formula>$L14="Passed"</formula>
    </cfRule>
  </conditionalFormatting>
  <conditionalFormatting sqref="C14:F47 L14:L47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7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2026-09-11T11:17:32Z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