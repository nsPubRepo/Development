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D9426A46-EFCE-47A3-A82F-F280F815F247}" xr6:coauthVersionLast="47" xr6:coauthVersionMax="47" xr10:uidLastSave="{00000000-0000-0000-0000-000000000000}"/>
  <bookViews>
    <workbookView xWindow="3420" yWindow="0" windowWidth="32970" windowHeight="20985" xr2:uid="{27E0B3AA-74C4-485B-A59F-76780996FF82}"/>
  </bookViews>
  <sheets>
    <sheet name="2026" sheetId="7" r:id="rId1"/>
    <sheet name="2025_Original" sheetId="5" state="hidden" r:id="rId2"/>
    <sheet name="2025" sheetId="6" r:id="rId3"/>
    <sheet name="2024" sheetId="1" r:id="rId4"/>
    <sheet name="Template" sheetId="2" r:id="rId5"/>
  </sheets>
  <definedNames>
    <definedName name="_xlnm._FilterDatabase" localSheetId="3" hidden="1">'2024'!$B$12:$G$43</definedName>
    <definedName name="_xlnm._FilterDatabase" localSheetId="2" hidden="1">'2025'!$B$13:$K$48</definedName>
    <definedName name="_xlnm._FilterDatabase" localSheetId="1" hidden="1">'2025_Original'!$B$13:$H$44</definedName>
    <definedName name="_xlnm._FilterDatabase" localSheetId="0" hidden="1">'2026'!$B$13:$K$43</definedName>
    <definedName name="_xlnm._FilterDatabase" localSheetId="4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7" l="1"/>
  <c r="F17" i="7"/>
  <c r="C17" i="7"/>
  <c r="K17" i="7" s="1"/>
  <c r="F20" i="7"/>
  <c r="G20" i="7" s="1"/>
  <c r="C20" i="7"/>
  <c r="K20" i="7" s="1"/>
  <c r="F33" i="7"/>
  <c r="G33" i="7" s="1"/>
  <c r="C33" i="7"/>
  <c r="K33" i="7" s="1"/>
  <c r="F34" i="7"/>
  <c r="G34" i="7" s="1"/>
  <c r="C34" i="7"/>
  <c r="K34" i="7" s="1"/>
  <c r="F31" i="7"/>
  <c r="G31" i="7" s="1"/>
  <c r="C31" i="7"/>
  <c r="K31" i="7" s="1"/>
  <c r="C16" i="7"/>
  <c r="K16" i="7" s="1"/>
  <c r="F16" i="7"/>
  <c r="G16" i="7" s="1"/>
  <c r="F15" i="7"/>
  <c r="G15" i="7" s="1"/>
  <c r="C15" i="7"/>
  <c r="K15" i="7" s="1"/>
  <c r="C18" i="7"/>
  <c r="F18" i="7"/>
  <c r="G18" i="7" s="1"/>
  <c r="C19" i="7"/>
  <c r="F19" i="7"/>
  <c r="G19" i="7" s="1"/>
  <c r="C21" i="7"/>
  <c r="F21" i="7"/>
  <c r="G21" i="7" s="1"/>
  <c r="C22" i="7"/>
  <c r="F22" i="7"/>
  <c r="G22" i="7" s="1"/>
  <c r="C23" i="7"/>
  <c r="F23" i="7"/>
  <c r="G23" i="7" s="1"/>
  <c r="C24" i="7"/>
  <c r="F24" i="7"/>
  <c r="G24" i="7" s="1"/>
  <c r="C25" i="7"/>
  <c r="F25" i="7"/>
  <c r="G25" i="7" s="1"/>
  <c r="C26" i="7"/>
  <c r="F26" i="7"/>
  <c r="G26" i="7" s="1"/>
  <c r="C27" i="7"/>
  <c r="F27" i="7"/>
  <c r="G27" i="7" s="1"/>
  <c r="C28" i="7"/>
  <c r="F28" i="7"/>
  <c r="G28" i="7" s="1"/>
  <c r="C29" i="7"/>
  <c r="F29" i="7"/>
  <c r="G29" i="7" s="1"/>
  <c r="C30" i="7"/>
  <c r="F30" i="7"/>
  <c r="G30" i="7" s="1"/>
  <c r="C32" i="7"/>
  <c r="F32" i="7"/>
  <c r="G32" i="7" s="1"/>
  <c r="C35" i="7"/>
  <c r="F35" i="7"/>
  <c r="G35" i="7" s="1"/>
  <c r="C36" i="7"/>
  <c r="F36" i="7"/>
  <c r="G36" i="7" s="1"/>
  <c r="C37" i="7"/>
  <c r="F37" i="7"/>
  <c r="G37" i="7" s="1"/>
  <c r="C38" i="7"/>
  <c r="F38" i="7"/>
  <c r="G38" i="7" s="1"/>
  <c r="C39" i="7"/>
  <c r="F39" i="7"/>
  <c r="G39" i="7" s="1"/>
  <c r="C40" i="7"/>
  <c r="F40" i="7"/>
  <c r="G40" i="7" s="1"/>
  <c r="C41" i="7"/>
  <c r="F41" i="7"/>
  <c r="G41" i="7" s="1"/>
  <c r="C42" i="7"/>
  <c r="F42" i="7"/>
  <c r="G42" i="7" s="1"/>
  <c r="F14" i="7" l="1"/>
  <c r="C14" i="7"/>
  <c r="K14" i="7" s="1"/>
  <c r="K32" i="7"/>
  <c r="K18" i="7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G14" i="7" l="1"/>
  <c r="F43" i="7"/>
  <c r="E10" i="7"/>
  <c r="E11" i="7" s="1"/>
  <c r="K19" i="7"/>
  <c r="K37" i="7"/>
  <c r="K39" i="7"/>
  <c r="K40" i="7"/>
  <c r="K38" i="7"/>
  <c r="K36" i="7"/>
  <c r="K35" i="7"/>
  <c r="K23" i="7"/>
  <c r="K24" i="7"/>
  <c r="K25" i="7"/>
  <c r="K26" i="7"/>
  <c r="K27" i="7"/>
  <c r="K28" i="7"/>
  <c r="K29" i="7"/>
  <c r="K30" i="7"/>
  <c r="K22" i="7"/>
  <c r="K21" i="7"/>
  <c r="K42" i="7"/>
  <c r="K41" i="7"/>
  <c r="C11" i="7"/>
  <c r="C9" i="7"/>
  <c r="C7" i="7"/>
  <c r="J3" i="7" a="1"/>
  <c r="J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E8" i="7" l="1"/>
  <c r="G43" i="7"/>
  <c r="D10" i="7"/>
  <c r="D11" i="7" s="1"/>
  <c r="E6" i="7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E5" i="7" l="1"/>
  <c r="C5" i="7"/>
  <c r="D3" i="6"/>
  <c r="D5" i="6" s="1"/>
  <c r="D3" i="7" l="1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10" i="5" l="1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<sst xmlns="http://schemas.openxmlformats.org/spreadsheetml/2006/main" count="480" uniqueCount="75">
  <si>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</si>
  <si>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</si>
  <si>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</si>
  <si>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</si>
  <si>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</si>
  <si>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</si>
  <si>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</si>
  <si>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</si>
  <si>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</si>
  <si>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</si>
  <si>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</si>
  <si>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</si>
  <si>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</si>
  <si>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</si>
  <si>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</si>
  <si>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</si>
  <si>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</si>
  <si>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</si>
  <si>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</si>
  <si>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</si>
  <si>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</si>
  <si>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</si>
  <si>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</si>
  <si>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</si>
  <si>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</si>
  <si>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</si>
  <si>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</si>
  <si>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</si>
  <si>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</si>
  <si>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</si>
  <si>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</si>
  <si>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</si>
  <si>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</si>
  <si>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</si>
  <si>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</si>
  <si>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</si>
  <si>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</si>
  <si>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</si>
  <si>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</si>
  <si>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</si>
  <si>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</si>
  <si>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</si>
  <si>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</si>
  <si>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</si>
  <si>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</si>
  <si>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</si>
  <si>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</si>
  <si>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</si>
  <si>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</si>
  <si>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</si>
  <si>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</si>
  <si>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</si>
  <si>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</si>
  <si>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</si>
  <si>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</si>
  <si>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</si>
  <si>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</si>
  <si>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</si>
  <si>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</si>
  <si>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</si>
  <si>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</si>
  <si>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</si>
  <si>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</si>
  <si>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</si>
  <si>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</si>
  <si>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</si>
  <si>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</si>
  <si>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</si>
  <si>
    <t>Be you</t>
  </si>
  <si>
    <t>Sick (not sure why I used "Be You" insteaed of actual sick time)</t>
  </si>
  <si>
    <t>Meeting</t>
  </si>
  <si>
    <t>Kids' first day of school</t>
  </si>
  <si>
    <t>Doctor (split across PTO &amp; Be You)</t>
  </si>
  <si>
    <t>05/??/2026</t>
  </si>
  <si>
    <t>Rubi to Fox (brakes)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</si>
</sst>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5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6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/>
      <right/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345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6" borderId="8" xfId="0" applyNumberFormat="1" applyFill="1" applyBorder="1" applyAlignment="1">
      <alignment horizontal="center"/>
    </xf>
    <xf numFmtId="0" fontId="0" fillId="6" borderId="36" xfId="0" applyFill="1" applyBorder="1" applyAlignment="1">
      <alignment horizontal="center"/>
    </xf>
    <xf numFmtId="18" fontId="0" fillId="6" borderId="6" xfId="0" applyNumberFormat="1" applyFill="1" applyBorder="1" applyAlignment="1">
      <alignment horizontal="center"/>
    </xf>
    <xf numFmtId="0" fontId="0" fillId="6" borderId="75" xfId="0" applyFill="1" applyBorder="1" applyAlignment="1">
      <alignment horizontal="center"/>
    </xf>
    <xf numFmtId="0" fontId="0" fillId="6" borderId="70" xfId="0" applyFill="1" applyBorder="1" applyAlignment="1">
      <alignment horizontal="center"/>
    </xf>
    <xf numFmtId="0" fontId="0" fillId="6" borderId="5" xfId="0" applyFill="1" applyBorder="1" applyAlignment="1">
      <alignment horizontal="center" wrapText="1"/>
    </xf>
    <xf numFmtId="0" fontId="0" fillId="4" borderId="36" xfId="0" applyFill="1" applyBorder="1" applyAlignment="1">
      <alignment horizontal="center"/>
    </xf>
    <xf numFmtId="18" fontId="0" fillId="4" borderId="6" xfId="0" applyNumberFormat="1" applyFill="1" applyBorder="1" applyAlignment="1">
      <alignment horizontal="center"/>
    </xf>
    <xf numFmtId="0" fontId="0" fillId="4" borderId="75" xfId="0" applyFill="1" applyBorder="1" applyAlignment="1">
      <alignment horizontal="center"/>
    </xf>
    <xf numFmtId="0" fontId="0" fillId="4" borderId="70" xfId="0" applyFill="1" applyBorder="1" applyAlignment="1">
      <alignment horizontal="center"/>
    </xf>
    <xf numFmtId="165" fontId="0" fillId="10" borderId="8" xfId="0" applyNumberFormat="1" applyFill="1" applyBorder="1" applyAlignment="1">
      <alignment horizontal="center"/>
    </xf>
    <xf numFmtId="0" fontId="0" fillId="10" borderId="36" xfId="0" applyFill="1" applyBorder="1" applyAlignment="1">
      <alignment horizontal="center"/>
    </xf>
    <xf numFmtId="18" fontId="0" fillId="10" borderId="6" xfId="0" applyNumberFormat="1" applyFill="1" applyBorder="1" applyAlignment="1">
      <alignment horizontal="center"/>
    </xf>
    <xf numFmtId="0" fontId="0" fillId="10" borderId="75" xfId="0" applyFill="1" applyBorder="1" applyAlignment="1">
      <alignment horizontal="center"/>
    </xf>
    <xf numFmtId="0" fontId="0" fillId="10" borderId="70" xfId="0" applyFill="1" applyBorder="1" applyAlignment="1">
      <alignment horizontal="center"/>
    </xf>
    <xf numFmtId="0" fontId="0" fillId="10" borderId="5" xfId="0" applyFill="1" applyBorder="1" applyAlignment="1">
      <alignment horizontal="center" wrapText="1"/>
    </xf>
    <xf numFmtId="165" fontId="0" fillId="10" borderId="9" xfId="0" applyNumberFormat="1" applyFill="1" applyBorder="1" applyAlignment="1">
      <alignment horizontal="center"/>
    </xf>
    <xf numFmtId="0" fontId="0" fillId="10" borderId="47" xfId="0" applyFill="1" applyBorder="1" applyAlignment="1">
      <alignment horizontal="center"/>
    </xf>
    <xf numFmtId="18" fontId="0" fillId="10" borderId="7" xfId="0" applyNumberForma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0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10" borderId="3" xfId="0" applyFill="1" applyBorder="1" applyAlignment="1">
      <alignment horizontal="center" wrapText="1"/>
    </xf>
    <xf numFmtId="0" fontId="0" fillId="3" borderId="69" xfId="0" applyFill="1" applyBorder="1" applyAlignment="1">
      <alignment horizontal="center" wrapText="1"/>
    </xf>
    <xf numFmtId="165" fontId="0" fillId="11" borderId="8" xfId="0" applyNumberFormat="1" applyFill="1" applyBorder="1" applyAlignment="1">
      <alignment horizontal="center"/>
    </xf>
    <xf numFmtId="0" fontId="0" fillId="11" borderId="36" xfId="0" applyFill="1" applyBorder="1" applyAlignment="1">
      <alignment horizontal="center"/>
    </xf>
    <xf numFmtId="18" fontId="0" fillId="11" borderId="6" xfId="0" applyNumberFormat="1" applyFill="1" applyBorder="1" applyAlignment="1">
      <alignment horizontal="center"/>
    </xf>
    <xf numFmtId="0" fontId="0" fillId="11" borderId="75" xfId="0" applyFill="1" applyBorder="1" applyAlignment="1">
      <alignment horizontal="center"/>
    </xf>
    <xf numFmtId="0" fontId="0" fillId="11" borderId="70" xfId="0" applyFill="1" applyBorder="1" applyAlignment="1">
      <alignment horizontal="center"/>
    </xf>
    <xf numFmtId="0" fontId="0" fillId="11" borderId="5" xfId="0" applyFill="1" applyBorder="1" applyAlignment="1">
      <alignment horizontal="center" wrapText="1"/>
    </xf>
    <xf numFmtId="0" fontId="0" fillId="3" borderId="70" xfId="0" applyFill="1" applyBorder="1" applyAlignment="1">
      <alignment horizontal="center" wrapText="1"/>
    </xf>
    <xf numFmtId="165" fontId="0" fillId="11" borderId="17" xfId="0" applyNumberFormat="1" applyFill="1" applyBorder="1" applyAlignment="1">
      <alignment horizontal="center"/>
    </xf>
    <xf numFmtId="0" fontId="0" fillId="11" borderId="39" xfId="0" applyFill="1" applyBorder="1" applyAlignment="1">
      <alignment horizontal="center"/>
    </xf>
    <xf numFmtId="18" fontId="0" fillId="11" borderId="15" xfId="0" applyNumberFormat="1" applyFill="1" applyBorder="1" applyAlignment="1">
      <alignment horizontal="center"/>
    </xf>
    <xf numFmtId="0" fontId="0" fillId="11" borderId="69" xfId="0" applyFill="1" applyBorder="1" applyAlignment="1">
      <alignment horizontal="center"/>
    </xf>
    <xf numFmtId="0" fontId="0" fillId="11" borderId="38" xfId="0" applyFill="1" applyBorder="1" applyAlignment="1">
      <alignment horizontal="center" wrapText="1"/>
    </xf>
    <xf numFmtId="0" fontId="0" fillId="2" borderId="36" xfId="0" applyFill="1" applyBorder="1" applyAlignment="1">
      <alignment horizontal="center"/>
    </xf>
    <xf numFmtId="18" fontId="0" fillId="2" borderId="6" xfId="0" applyNumberFormat="1" applyFill="1" applyBorder="1" applyAlignment="1">
      <alignment horizontal="center"/>
    </xf>
    <xf numFmtId="0" fontId="0" fillId="2" borderId="67" xfId="0" applyFill="1" applyBorder="1" applyAlignment="1">
      <alignment horizontal="center"/>
    </xf>
  </cellXfs>
  <cellStyles count="1">
    <cellStyle name="Normal" xfId="0" builtinId="0"/>
  </cellStyles>
  <dxfs count="21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446143</xdr:colOff>
      <xdr:row>28</xdr:row>
      <xdr:rowOff>95741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725774" y="2248460"/>
          <a:ext cx="5132445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45</xdr:row>
      <xdr:rowOff>100853</xdr:rowOff>
    </xdr:from>
    <xdr:to>
      <xdr:col>26</xdr:col>
      <xdr:colOff>458322</xdr:colOff>
      <xdr:row>65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K43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57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168.5</v>
      </c>
      <c r="D3" s="3">
        <f ca="1">C3-E3</f>
        <v>161</v>
      </c>
      <c r="E3" s="1">
        <f ca="1">C3 - C6 - SUMIF(H14:H42, "PTO", G14:G42)</f>
        <v>7.5</v>
      </c>
      <c r="J3" s="56" t="str" cm="1">
        <f t="array" aca="1" ref="J3" ca="1">"PTO Reset: 02/12/" &amp; (RIGHT(CELL("filename",A2),LEN(CELL("filename",A2))-SEARCH("]",CELL("filename",A2)))) + 1</f>
        <v>PTO Reset: 02/12/2027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1" ht="15.75" thickBot="1">
      <c r="B5" s="6" t="s">
        <v>5</v>
      </c>
      <c r="C5" s="7">
        <f ca="1">C3/8</f>
        <v>21.0625</v>
      </c>
      <c r="D5" s="7">
        <f ca="1">D3/8</f>
        <v>20.125</v>
      </c>
      <c r="E5" s="8">
        <f ca="1">E3/8</f>
        <v>0.9375</v>
      </c>
    </row>
    <row r="6" spans="2:11">
      <c r="B6" s="9" t="s">
        <v>15</v>
      </c>
      <c r="C6" s="10">
        <v>40</v>
      </c>
      <c r="D6" s="10">
        <f>C6-E6</f>
        <v>0</v>
      </c>
      <c r="E6" s="11">
        <f>C6 - SUMIF(H14:H42, "Sick", G14:G42)</f>
        <v>40</v>
      </c>
    </row>
    <row r="7" spans="2:11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SUMIF(H14:H42, "Be You", G14:G42)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SUMIF(H14:H42, "Volunteer", G14:G42)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>
      <c r="B14" s="122">
        <v>46059</v>
      </c>
      <c r="C14" s="240" t="str">
        <f t="shared" ref="C14:C22" si="0">IF(ISNUMBER(FIND("?", B14, 1)), "TBD", TEXT(B14, "ddd"))</f>
        <v>Fri</v>
      </c>
      <c r="D14" s="241">
        <v>0.45833333333333331</v>
      </c>
      <c r="E14" s="241">
        <v>0.66666666666666663</v>
      </c>
      <c r="F14" s="257">
        <f>((E14 - D14) * 24)</f>
        <v>5</v>
      </c>
      <c r="G14" s="240">
        <f t="shared" ref="G14:G22" si="1">IF(F14 &gt; 4, (F14 - 1), F14)</f>
        <v>4</v>
      </c>
      <c r="H14" s="242" t="s">
        <v>10</v>
      </c>
      <c r="I14" s="196" t="s">
        <v>20</v>
      </c>
      <c r="J14" s="243" t="s">
        <v>67</v>
      </c>
      <c r="K14" s="42" t="str">
        <f t="shared" ref="K14:K22" ca="1" si="2">IF(C14 = "TBD", "TBD", IF(B14 = "", "IDK!!", IF(TODAY() &gt; B14, "Passed", IF(TODAY() = B14, "Today!!", "Upcoming"))))</f>
        <v>Passed</v>
      </c>
    </row>
    <row r="15" spans="2:11" ht="15.75" thickBot="1">
      <c r="B15" s="306">
        <v>46080</v>
      </c>
      <c r="C15" s="307" t="str">
        <f t="shared" si="0"/>
        <v>Fri</v>
      </c>
      <c r="D15" s="308">
        <v>0.29166666666666669</v>
      </c>
      <c r="E15" s="308">
        <v>0.66666666666666663</v>
      </c>
      <c r="F15" s="309">
        <f>((E15 - D15) * 24)</f>
        <v>8.9999999999999982</v>
      </c>
      <c r="G15" s="307">
        <f>IF(F15 &gt; 4, (F15 - 1), F15)</f>
        <v>7.9999999999999982</v>
      </c>
      <c r="H15" s="310" t="s">
        <v>68</v>
      </c>
      <c r="I15" s="244" t="s">
        <v>20</v>
      </c>
      <c r="J15" s="311" t="s">
        <v>69</v>
      </c>
      <c r="K15" s="60" t="str">
        <f t="shared" ca="1" si="2"/>
        <v>Passed</v>
      </c>
    </row>
    <row r="16" spans="2:11" ht="15.75" thickBot="1">
      <c r="B16" s="282">
        <v>46093</v>
      </c>
      <c r="C16" s="312" t="str">
        <f t="shared" ref="C16" si="3">IF(ISNUMBER(FIND("?", B16, 1)), "TBD", TEXT(B16, "ddd"))</f>
        <v>Thu</v>
      </c>
      <c r="D16" s="313">
        <v>0.625</v>
      </c>
      <c r="E16" s="313">
        <v>0.66666666666666663</v>
      </c>
      <c r="F16" s="314">
        <f>((E16 - D16) * 24)</f>
        <v>0.99999999999999911</v>
      </c>
      <c r="G16" s="312">
        <f>IF(F16 &gt; 4, (F16 - 1), F16)</f>
        <v>0.99999999999999911</v>
      </c>
      <c r="H16" s="315" t="s">
        <v>68</v>
      </c>
      <c r="I16" s="244" t="s">
        <v>20</v>
      </c>
      <c r="J16" s="288" t="s">
        <v>70</v>
      </c>
      <c r="K16" s="60" t="str">
        <f t="shared" ca="1" si="2"/>
        <v>Passed</v>
      </c>
    </row>
    <row r="17" spans="2:11">
      <c r="B17" s="112" t="s">
        <v>73</v>
      </c>
      <c r="C17" s="264" t="str">
        <f>IF(ISNUMBER(FIND("?", B17, 1)), "TBD", TEXT(B17, "ddd"))</f>
        <v>TBD</v>
      </c>
      <c r="D17" s="262">
        <v>0.29166666666666669</v>
      </c>
      <c r="E17" s="262">
        <v>0.66666666666666663</v>
      </c>
      <c r="F17" s="40">
        <f>((E17 - D17) * 24)</f>
        <v>8.9999999999999982</v>
      </c>
      <c r="G17" s="264">
        <f>IF(F17 &gt; 4, (F17 - 1), F17)</f>
        <v>7.9999999999999982</v>
      </c>
      <c r="H17" s="265" t="s">
        <v>4</v>
      </c>
      <c r="I17" s="196" t="s">
        <v>28</v>
      </c>
      <c r="J17" s="266" t="s">
        <v>74</v>
      </c>
      <c r="K17" s="42" t="str">
        <f ca="1">IF(C17 = "TBD", "TBD", IF(B17 = "", "IDK!!", IF(TODAY() &gt; B17, "Passed", IF(TODAY() = B17, "Today!!", "Upcoming"))))</f>
        <v>TBD</v>
      </c>
    </row>
    <row r="18" spans="2:11" ht="15.75" thickBot="1">
      <c r="B18" s="113">
        <v>46164</v>
      </c>
      <c r="C18" s="342" t="str">
        <f t="shared" si="0"/>
        <v>Fri</v>
      </c>
      <c r="D18" s="343">
        <v>0.45833333333333331</v>
      </c>
      <c r="E18" s="343">
        <v>0.66666666666666663</v>
      </c>
      <c r="F18" s="344">
        <f t="shared" ref="F18:F22" si="4">((E18 - D18) * 24)</f>
        <v>5</v>
      </c>
      <c r="G18" s="342">
        <f t="shared" si="1"/>
        <v>4</v>
      </c>
      <c r="H18" s="267" t="s">
        <v>4</v>
      </c>
      <c r="I18" s="244" t="s">
        <v>20</v>
      </c>
      <c r="J18" s="268" t="s">
        <v>42</v>
      </c>
      <c r="K18" s="60" t="str">
        <f t="shared" ca="1" si="2"/>
        <v>Upcoming</v>
      </c>
    </row>
    <row r="19" spans="2:11">
      <c r="B19" s="279">
        <v>46226</v>
      </c>
      <c r="C19" s="217" t="str">
        <f t="shared" si="0"/>
        <v>Thu</v>
      </c>
      <c r="D19" s="157">
        <v>0.45833333333333331</v>
      </c>
      <c r="E19" s="157">
        <v>0.66666666666666663</v>
      </c>
      <c r="F19" s="220">
        <f t="shared" si="4"/>
        <v>5</v>
      </c>
      <c r="G19" s="217">
        <f t="shared" si="1"/>
        <v>4</v>
      </c>
      <c r="H19" s="280" t="s">
        <v>4</v>
      </c>
      <c r="I19" s="196" t="s">
        <v>20</v>
      </c>
      <c r="J19" s="281" t="s">
        <v>46</v>
      </c>
      <c r="K19" s="42" t="str">
        <f t="shared" ca="1" si="2"/>
        <v>Upcoming</v>
      </c>
    </row>
    <row r="20" spans="2:11">
      <c r="B20" s="337">
        <v>46227</v>
      </c>
      <c r="C20" s="338" t="str">
        <f>IF(ISNUMBER(FIND("?", B20, 1)), "TBD", TEXT(B20, "ddd"))</f>
        <v>Fri</v>
      </c>
      <c r="D20" s="339">
        <v>0.29166666666666669</v>
      </c>
      <c r="E20" s="339">
        <v>0.66666666666666663</v>
      </c>
      <c r="F20" s="221">
        <f>((E20 - D20) * 24)</f>
        <v>8.9999999999999982</v>
      </c>
      <c r="G20" s="338">
        <f>IF(F20 &gt; 4, (F20 - 1), F20)</f>
        <v>7.9999999999999982</v>
      </c>
      <c r="H20" s="340" t="s">
        <v>4</v>
      </c>
      <c r="I20" s="199" t="s">
        <v>20</v>
      </c>
      <c r="J20" s="341" t="s">
        <v>46</v>
      </c>
      <c r="K20" s="59" t="str">
        <f ca="1">IF(C20 = "TBD", "TBD", IF(B20 = "", "IDK!!", IF(TODAY() &gt; B20, "Passed", IF(TODAY() = B20, "Today!!", "Upcoming"))))</f>
        <v>Upcoming</v>
      </c>
    </row>
    <row r="21" spans="2:11">
      <c r="B21" s="140">
        <v>46232</v>
      </c>
      <c r="C21" s="166" t="str">
        <f t="shared" si="0"/>
        <v>Wed</v>
      </c>
      <c r="D21" s="158">
        <v>0.45833333333333331</v>
      </c>
      <c r="E21" s="158">
        <v>0.66666666666666663</v>
      </c>
      <c r="F21" s="221">
        <f t="shared" si="4"/>
        <v>5</v>
      </c>
      <c r="G21" s="166">
        <f t="shared" si="1"/>
        <v>4</v>
      </c>
      <c r="H21" s="181" t="s">
        <v>4</v>
      </c>
      <c r="I21" s="198" t="s">
        <v>20</v>
      </c>
      <c r="J21" s="206" t="s">
        <v>59</v>
      </c>
      <c r="K21" s="329" t="str">
        <f t="shared" ca="1" si="2"/>
        <v>Upcoming</v>
      </c>
    </row>
    <row r="22" spans="2:11">
      <c r="B22" s="140">
        <v>46233</v>
      </c>
      <c r="C22" s="166" t="str">
        <f t="shared" si="0"/>
        <v>Thu</v>
      </c>
      <c r="D22" s="158">
        <v>0.45833333333333331</v>
      </c>
      <c r="E22" s="158">
        <v>0.66666666666666663</v>
      </c>
      <c r="F22" s="221">
        <f t="shared" si="4"/>
        <v>5</v>
      </c>
      <c r="G22" s="166">
        <f t="shared" si="1"/>
        <v>4</v>
      </c>
      <c r="H22" s="181" t="s">
        <v>4</v>
      </c>
      <c r="I22" s="198" t="s">
        <v>20</v>
      </c>
      <c r="J22" s="206" t="s">
        <v>59</v>
      </c>
      <c r="K22" s="329" t="str">
        <f t="shared" ca="1" si="2"/>
        <v>Upcoming</v>
      </c>
    </row>
    <row r="23" spans="2:11" ht="15.75" thickBot="1">
      <c r="B23" s="330">
        <v>46234</v>
      </c>
      <c r="C23" s="331" t="str">
        <f t="shared" ref="C23:C40" si="5">IF(ISNUMBER(FIND("?", B23, 1)), "TBD", TEXT(B23, "ddd"))</f>
        <v>Fri</v>
      </c>
      <c r="D23" s="332">
        <v>0.45833333333333331</v>
      </c>
      <c r="E23" s="332">
        <v>0.66666666666666663</v>
      </c>
      <c r="F23" s="333">
        <f t="shared" ref="F23:F37" si="6">((E23 - D23) * 24)</f>
        <v>5</v>
      </c>
      <c r="G23" s="331">
        <f t="shared" ref="G23:G40" si="7">IF(F23 &gt; 4, (F23 - 1), F23)</f>
        <v>4</v>
      </c>
      <c r="H23" s="334" t="s">
        <v>4</v>
      </c>
      <c r="I23" s="244" t="s">
        <v>20</v>
      </c>
      <c r="J23" s="335" t="s">
        <v>59</v>
      </c>
      <c r="K23" s="336" t="str">
        <f t="shared" ref="K23:K40" ca="1" si="8">IF(C23 = "TBD", "TBD", IF(B23 = "", "IDK!!", IF(TODAY() &gt; B23, "Passed", IF(TODAY() = B23, "Today!!", "Upcoming"))))</f>
        <v>Upcoming</v>
      </c>
    </row>
    <row r="24" spans="2:11">
      <c r="B24" s="123">
        <v>46240</v>
      </c>
      <c r="C24" s="245" t="str">
        <f t="shared" si="5"/>
        <v>Thu</v>
      </c>
      <c r="D24" s="246">
        <v>0.45833333333333331</v>
      </c>
      <c r="E24" s="246">
        <v>0.66666666666666663</v>
      </c>
      <c r="F24" s="258">
        <f t="shared" si="6"/>
        <v>5</v>
      </c>
      <c r="G24" s="245">
        <f t="shared" si="7"/>
        <v>4</v>
      </c>
      <c r="H24" s="247" t="s">
        <v>4</v>
      </c>
      <c r="I24" s="199" t="s">
        <v>20</v>
      </c>
      <c r="J24" s="248" t="s">
        <v>59</v>
      </c>
      <c r="K24" s="59" t="str">
        <f t="shared" ca="1" si="8"/>
        <v>Upcoming</v>
      </c>
    </row>
    <row r="25" spans="2:11" ht="15.75" thickBot="1">
      <c r="B25" s="249">
        <v>46241</v>
      </c>
      <c r="C25" s="245" t="str">
        <f t="shared" si="5"/>
        <v>Fri</v>
      </c>
      <c r="D25" s="246">
        <v>0.45833333333333331</v>
      </c>
      <c r="E25" s="246">
        <v>0.66666666666666663</v>
      </c>
      <c r="F25" s="258">
        <f t="shared" si="6"/>
        <v>5</v>
      </c>
      <c r="G25" s="245">
        <f t="shared" si="7"/>
        <v>4</v>
      </c>
      <c r="H25" s="247" t="s">
        <v>4</v>
      </c>
      <c r="I25" s="199" t="s">
        <v>20</v>
      </c>
      <c r="J25" s="248" t="s">
        <v>59</v>
      </c>
      <c r="K25" s="59" t="str">
        <f t="shared" ca="1" si="8"/>
        <v>Upcoming</v>
      </c>
    </row>
    <row r="26" spans="2:11" ht="15.75" thickBot="1">
      <c r="B26" s="249">
        <v>46244</v>
      </c>
      <c r="C26" s="245" t="str">
        <f t="shared" si="5"/>
        <v>Mon</v>
      </c>
      <c r="D26" s="246">
        <v>0.45833333333333331</v>
      </c>
      <c r="E26" s="246">
        <v>0.66666666666666663</v>
      </c>
      <c r="F26" s="258">
        <f t="shared" si="6"/>
        <v>5</v>
      </c>
      <c r="G26" s="245">
        <f t="shared" si="7"/>
        <v>4</v>
      </c>
      <c r="H26" s="247" t="s">
        <v>4</v>
      </c>
      <c r="I26" s="199" t="s">
        <v>20</v>
      </c>
      <c r="J26" s="248" t="s">
        <v>39</v>
      </c>
      <c r="K26" s="59" t="str">
        <f t="shared" ca="1" si="8"/>
        <v>Upcoming</v>
      </c>
    </row>
    <row r="27" spans="2:11" ht="15.75" thickBot="1">
      <c r="B27" s="249">
        <v>46245</v>
      </c>
      <c r="C27" s="245" t="str">
        <f t="shared" si="5"/>
        <v>Tue</v>
      </c>
      <c r="D27" s="246">
        <v>0.45833333333333331</v>
      </c>
      <c r="E27" s="246">
        <v>0.66666666666666663</v>
      </c>
      <c r="F27" s="258">
        <f t="shared" si="6"/>
        <v>5</v>
      </c>
      <c r="G27" s="245">
        <f t="shared" si="7"/>
        <v>4</v>
      </c>
      <c r="H27" s="247" t="s">
        <v>4</v>
      </c>
      <c r="I27" s="199" t="s">
        <v>20</v>
      </c>
      <c r="J27" s="248" t="s">
        <v>39</v>
      </c>
      <c r="K27" s="59" t="str">
        <f t="shared" ca="1" si="8"/>
        <v>Upcoming</v>
      </c>
    </row>
    <row r="28" spans="2:11" ht="15.75" thickBot="1">
      <c r="B28" s="249">
        <v>46246</v>
      </c>
      <c r="C28" s="245" t="str">
        <f t="shared" si="5"/>
        <v>Wed</v>
      </c>
      <c r="D28" s="246">
        <v>0.45833333333333331</v>
      </c>
      <c r="E28" s="246">
        <v>0.66666666666666663</v>
      </c>
      <c r="F28" s="258">
        <f t="shared" si="6"/>
        <v>5</v>
      </c>
      <c r="G28" s="245">
        <f t="shared" si="7"/>
        <v>4</v>
      </c>
      <c r="H28" s="247" t="s">
        <v>4</v>
      </c>
      <c r="I28" s="199" t="s">
        <v>20</v>
      </c>
      <c r="J28" s="248" t="s">
        <v>39</v>
      </c>
      <c r="K28" s="59" t="str">
        <f t="shared" ca="1" si="8"/>
        <v>Upcoming</v>
      </c>
    </row>
    <row r="29" spans="2:11" ht="15.75" thickBot="1">
      <c r="B29" s="250">
        <v>46247</v>
      </c>
      <c r="C29" s="245" t="str">
        <f t="shared" si="5"/>
        <v>Thu</v>
      </c>
      <c r="D29" s="246">
        <v>0.45833333333333331</v>
      </c>
      <c r="E29" s="246">
        <v>0.66666666666666663</v>
      </c>
      <c r="F29" s="258">
        <f t="shared" si="6"/>
        <v>5</v>
      </c>
      <c r="G29" s="245">
        <f t="shared" si="7"/>
        <v>4</v>
      </c>
      <c r="H29" s="247" t="s">
        <v>4</v>
      </c>
      <c r="I29" s="199" t="s">
        <v>20</v>
      </c>
      <c r="J29" s="248" t="s">
        <v>39</v>
      </c>
      <c r="K29" s="59" t="str">
        <f t="shared" ca="1" si="8"/>
        <v>Upcoming</v>
      </c>
    </row>
    <row r="30" spans="2:11">
      <c r="B30" s="250">
        <v>46248</v>
      </c>
      <c r="C30" s="245" t="str">
        <f t="shared" si="5"/>
        <v>Fri</v>
      </c>
      <c r="D30" s="246">
        <v>0.45833333333333331</v>
      </c>
      <c r="E30" s="246">
        <v>0.66666666666666663</v>
      </c>
      <c r="F30" s="258">
        <f t="shared" si="6"/>
        <v>5</v>
      </c>
      <c r="G30" s="245">
        <f t="shared" si="7"/>
        <v>4</v>
      </c>
      <c r="H30" s="247" t="s">
        <v>4</v>
      </c>
      <c r="I30" s="199" t="s">
        <v>20</v>
      </c>
      <c r="J30" s="248" t="s">
        <v>39</v>
      </c>
      <c r="K30" s="59" t="str">
        <f t="shared" ca="1" si="8"/>
        <v>Upcoming</v>
      </c>
    </row>
    <row r="31" spans="2:11" ht="15.75" thickBot="1">
      <c r="B31" s="250">
        <v>46253</v>
      </c>
      <c r="C31" s="245" t="str">
        <f t="shared" si="5"/>
        <v>Wed</v>
      </c>
      <c r="D31" s="246">
        <v>0.29166666666666669</v>
      </c>
      <c r="E31" s="246">
        <v>0.5</v>
      </c>
      <c r="F31" s="258">
        <f t="shared" si="6"/>
        <v>5</v>
      </c>
      <c r="G31" s="245">
        <f t="shared" si="7"/>
        <v>4</v>
      </c>
      <c r="H31" s="247" t="s">
        <v>4</v>
      </c>
      <c r="I31" s="199" t="s">
        <v>20</v>
      </c>
      <c r="J31" s="248" t="s">
        <v>71</v>
      </c>
      <c r="K31" s="59" t="str">
        <f t="shared" ca="1" si="8"/>
        <v>Upcoming</v>
      </c>
    </row>
    <row r="32" spans="2:11">
      <c r="B32" s="105">
        <v>46269</v>
      </c>
      <c r="C32" s="170" t="str">
        <f t="shared" ref="C32:C34" si="9">IF(ISNUMBER(FIND("?", B32, 1)), "TBD", TEXT(B32, "ddd"))</f>
        <v>Fri</v>
      </c>
      <c r="D32" s="160">
        <v>0.45833333333333331</v>
      </c>
      <c r="E32" s="160">
        <v>0.66666666666666663</v>
      </c>
      <c r="F32" s="224">
        <f t="shared" ref="F32:F34" si="10">((E32 - D32) * 24)</f>
        <v>5</v>
      </c>
      <c r="G32" s="170">
        <f t="shared" ref="G32:G34" si="11">IF(F32 &gt; 4, (F32 - 1), F32)</f>
        <v>4</v>
      </c>
      <c r="H32" s="185" t="s">
        <v>4</v>
      </c>
      <c r="I32" s="196" t="s">
        <v>20</v>
      </c>
      <c r="J32" s="210" t="s">
        <v>24</v>
      </c>
      <c r="K32" s="42" t="str">
        <f t="shared" ref="K32:K34" ca="1" si="12">IF(C32 = "TBD", "TBD", IF(B32 = "", "IDK!!", IF(TODAY() &gt; B32, "Passed", IF(TODAY() = B32, "Today!!", "Upcoming"))))</f>
        <v>Upcoming</v>
      </c>
    </row>
    <row r="33" spans="2:11">
      <c r="B33" s="322">
        <v>46275</v>
      </c>
      <c r="C33" s="323" t="str">
        <f t="shared" si="9"/>
        <v>Thu</v>
      </c>
      <c r="D33" s="324">
        <v>0.41666666666666669</v>
      </c>
      <c r="E33" s="324">
        <v>0.45833333333333331</v>
      </c>
      <c r="F33" s="325">
        <f t="shared" si="10"/>
        <v>0.99999999999999911</v>
      </c>
      <c r="G33" s="323">
        <f t="shared" si="11"/>
        <v>0.99999999999999911</v>
      </c>
      <c r="H33" s="326" t="s">
        <v>4</v>
      </c>
      <c r="I33" s="327" t="s">
        <v>20</v>
      </c>
      <c r="J33" s="328" t="s">
        <v>72</v>
      </c>
      <c r="K33" s="67" t="str">
        <f t="shared" ca="1" si="12"/>
        <v>Upcoming</v>
      </c>
    </row>
    <row r="34" spans="2:11" ht="15.75" thickBot="1">
      <c r="B34" s="316">
        <v>46275</v>
      </c>
      <c r="C34" s="317" t="str">
        <f t="shared" si="9"/>
        <v>Thu</v>
      </c>
      <c r="D34" s="318">
        <v>0.29166666666666669</v>
      </c>
      <c r="E34" s="318">
        <v>0.41666666666666669</v>
      </c>
      <c r="F34" s="319">
        <f t="shared" si="10"/>
        <v>3</v>
      </c>
      <c r="G34" s="317">
        <f t="shared" si="11"/>
        <v>3</v>
      </c>
      <c r="H34" s="320" t="s">
        <v>10</v>
      </c>
      <c r="I34" s="244" t="s">
        <v>20</v>
      </c>
      <c r="J34" s="321" t="s">
        <v>72</v>
      </c>
      <c r="K34" s="60" t="str">
        <f t="shared" ca="1" si="12"/>
        <v>Upcoming</v>
      </c>
    </row>
    <row r="35" spans="2:11" ht="15.75" thickBot="1">
      <c r="B35" s="124">
        <v>46353</v>
      </c>
      <c r="C35" s="173" t="str">
        <f t="shared" si="5"/>
        <v>Fri</v>
      </c>
      <c r="D35" s="155">
        <v>0.29166666666666669</v>
      </c>
      <c r="E35" s="155">
        <v>0.66666666666666663</v>
      </c>
      <c r="F35" s="226">
        <f t="shared" si="6"/>
        <v>8.9999999999999982</v>
      </c>
      <c r="G35" s="173">
        <f t="shared" si="7"/>
        <v>7.9999999999999982</v>
      </c>
      <c r="H35" s="188" t="s">
        <v>4</v>
      </c>
      <c r="I35" s="200" t="s">
        <v>20</v>
      </c>
      <c r="J35" s="269" t="s">
        <v>14</v>
      </c>
      <c r="K35" s="192" t="str">
        <f t="shared" ca="1" si="8"/>
        <v>Upcoming</v>
      </c>
    </row>
    <row r="36" spans="2:11" ht="15.75" thickBot="1">
      <c r="B36" s="112">
        <v>46380</v>
      </c>
      <c r="C36" s="264" t="str">
        <f t="shared" si="5"/>
        <v>Thu</v>
      </c>
      <c r="D36" s="262">
        <v>0.29166666666666669</v>
      </c>
      <c r="E36" s="262">
        <v>0.66666666666666663</v>
      </c>
      <c r="F36" s="263">
        <f t="shared" si="6"/>
        <v>8.9999999999999982</v>
      </c>
      <c r="G36" s="264">
        <f t="shared" si="7"/>
        <v>7.9999999999999982</v>
      </c>
      <c r="H36" s="265" t="s">
        <v>4</v>
      </c>
      <c r="I36" s="196" t="s">
        <v>20</v>
      </c>
      <c r="J36" s="266" t="s">
        <v>60</v>
      </c>
      <c r="K36" s="42" t="str">
        <f t="shared" ca="1" si="8"/>
        <v>Upcoming</v>
      </c>
    </row>
    <row r="37" spans="2:11" ht="15.75" thickBot="1">
      <c r="B37" s="120">
        <v>46384</v>
      </c>
      <c r="C37" s="274" t="str">
        <f t="shared" si="5"/>
        <v>Mon</v>
      </c>
      <c r="D37" s="275">
        <v>0.29166666666666669</v>
      </c>
      <c r="E37" s="275">
        <v>0.66666666666666663</v>
      </c>
      <c r="F37" s="276">
        <f t="shared" si="6"/>
        <v>8.9999999999999982</v>
      </c>
      <c r="G37" s="274">
        <f t="shared" si="7"/>
        <v>7.9999999999999982</v>
      </c>
      <c r="H37" s="277" t="s">
        <v>4</v>
      </c>
      <c r="I37" s="199" t="s">
        <v>20</v>
      </c>
      <c r="J37" s="278" t="s">
        <v>60</v>
      </c>
      <c r="K37" s="59" t="str">
        <f t="shared" ca="1" si="8"/>
        <v>Upcoming</v>
      </c>
    </row>
    <row r="38" spans="2:11" ht="15.75" thickBot="1">
      <c r="B38" s="270">
        <v>46385</v>
      </c>
      <c r="C38" s="271" t="str">
        <f t="shared" si="5"/>
        <v>Tue</v>
      </c>
      <c r="D38" s="275">
        <v>0.29166666666666669</v>
      </c>
      <c r="E38" s="275">
        <v>0.66666666666666663</v>
      </c>
      <c r="F38" s="276">
        <f t="shared" ref="F38:F40" si="13">((E38 - D38) * 24)</f>
        <v>8.9999999999999982</v>
      </c>
      <c r="G38" s="274">
        <f t="shared" si="7"/>
        <v>7.9999999999999982</v>
      </c>
      <c r="H38" s="272" t="s">
        <v>4</v>
      </c>
      <c r="I38" s="198" t="s">
        <v>20</v>
      </c>
      <c r="J38" s="273" t="s">
        <v>60</v>
      </c>
      <c r="K38" s="193" t="str">
        <f t="shared" ca="1" si="8"/>
        <v>Upcoming</v>
      </c>
    </row>
    <row r="39" spans="2:11">
      <c r="B39" s="270">
        <v>46386</v>
      </c>
      <c r="C39" s="271" t="str">
        <f t="shared" si="5"/>
        <v>Wed</v>
      </c>
      <c r="D39" s="275">
        <v>0.29166666666666669</v>
      </c>
      <c r="E39" s="275">
        <v>0.66666666666666663</v>
      </c>
      <c r="F39" s="276">
        <f t="shared" si="13"/>
        <v>8.9999999999999982</v>
      </c>
      <c r="G39" s="274">
        <f t="shared" si="7"/>
        <v>7.9999999999999982</v>
      </c>
      <c r="H39" s="272" t="s">
        <v>4</v>
      </c>
      <c r="I39" s="198" t="s">
        <v>20</v>
      </c>
      <c r="J39" s="273" t="s">
        <v>60</v>
      </c>
      <c r="K39" s="193" t="str">
        <f t="shared" ca="1" si="8"/>
        <v>Upcoming</v>
      </c>
    </row>
    <row r="40" spans="2:11" ht="15.75" thickBot="1">
      <c r="B40" s="113">
        <v>46387</v>
      </c>
      <c r="C40" s="271" t="str">
        <f t="shared" si="5"/>
        <v>Thu</v>
      </c>
      <c r="D40" s="275">
        <v>0.29166666666666669</v>
      </c>
      <c r="E40" s="275">
        <v>0.66666666666666663</v>
      </c>
      <c r="F40" s="276">
        <f t="shared" si="13"/>
        <v>8.9999999999999982</v>
      </c>
      <c r="G40" s="274">
        <f t="shared" si="7"/>
        <v>7.9999999999999982</v>
      </c>
      <c r="H40" s="267" t="s">
        <v>4</v>
      </c>
      <c r="I40" s="244" t="s">
        <v>20</v>
      </c>
      <c r="J40" s="268" t="s">
        <v>60</v>
      </c>
      <c r="K40" s="193" t="str">
        <f t="shared" ca="1" si="8"/>
        <v>Upcoming</v>
      </c>
    </row>
    <row r="41" spans="2:11">
      <c r="B41" s="102"/>
      <c r="C41" s="165" t="str">
        <f t="shared" ref="C41:C42" si="14">IF(ISNUMBER(FIND("?", B41, 1)), "TBD", TEXT(B41, "ddd"))</f>
        <v>Sat</v>
      </c>
      <c r="D41" s="157"/>
      <c r="E41" s="157"/>
      <c r="F41" s="220">
        <f t="shared" ref="F41:F42" si="15">((E41 - D41) * 24)</f>
        <v>0</v>
      </c>
      <c r="G41" s="217">
        <f t="shared" ref="G41:G42" si="16">IF(F41 &gt; 4, (F41 - 1), F41)</f>
        <v>0</v>
      </c>
      <c r="H41" s="180"/>
      <c r="I41" s="197" t="s">
        <v>66</v>
      </c>
      <c r="J41" s="205"/>
      <c r="K41" s="252" t="str">
        <f t="shared" ref="K41:K42" ca="1" si="17">IF(C41 = "TBD", "TBD", IF(B41 = "", "IDK!!", IF(TODAY() &gt; B41, "Passed", IF(TODAY() = B41, "Today!!", "Upcoming"))))</f>
        <v>IDK!!</v>
      </c>
    </row>
    <row r="42" spans="2:11" ht="15.75" thickBot="1">
      <c r="B42" s="259"/>
      <c r="C42" s="253" t="str">
        <f t="shared" si="14"/>
        <v>Sat</v>
      </c>
      <c r="D42" s="260"/>
      <c r="E42" s="260"/>
      <c r="F42" s="261">
        <f t="shared" si="15"/>
        <v>0</v>
      </c>
      <c r="G42" s="253">
        <f t="shared" si="16"/>
        <v>0</v>
      </c>
      <c r="H42" s="254"/>
      <c r="I42" s="202" t="s">
        <v>66</v>
      </c>
      <c r="J42" s="255"/>
      <c r="K42" s="251" t="str">
        <f t="shared" ca="1" si="17"/>
        <v>IDK!!</v>
      </c>
    </row>
    <row r="43" spans="2:11" ht="15.75" thickBot="1">
      <c r="B43" s="86" t="s">
        <v>11</v>
      </c>
      <c r="C43" s="303"/>
      <c r="D43" s="304"/>
      <c r="E43" s="305"/>
      <c r="F43" s="228">
        <f>SUM(F14:F42)</f>
        <v>161</v>
      </c>
      <c r="G43" s="256">
        <f>SUM(G14:G42)</f>
        <v>137</v>
      </c>
      <c r="H43" s="301"/>
      <c r="I43" s="302"/>
      <c r="J43" s="302"/>
      <c r="K43" s="302"/>
    </row>
  </sheetData>
  <autoFilter ref="B13:J43" xr:uid="{4B51B8F7-4ACE-45CA-965B-2AD2897F333A}"/>
  <conditionalFormatting sqref="B14:K42">
    <cfRule type="expression" dxfId="20" priority="2">
      <formula>$K14="Passed"</formula>
    </cfRule>
  </conditionalFormatting>
  <conditionalFormatting sqref="K14:K42 C14:F42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I42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62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62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65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82">
        <v>45936</v>
      </c>
      <c r="C37" s="283" t="str">
        <f t="shared" si="0"/>
        <v>Mon</v>
      </c>
      <c r="D37" s="284">
        <v>0.29166666666666669</v>
      </c>
      <c r="E37" s="284">
        <v>0.66666666666666663</v>
      </c>
      <c r="F37" s="285">
        <f t="shared" si="6"/>
        <v>8.9999999999999982</v>
      </c>
      <c r="G37" s="283">
        <f t="shared" si="7"/>
        <v>7.9999999999999982</v>
      </c>
      <c r="H37" s="286" t="s">
        <v>32</v>
      </c>
      <c r="I37" s="287" t="s">
        <v>20</v>
      </c>
      <c r="J37" s="288" t="s">
        <v>63</v>
      </c>
      <c r="K37" s="67" t="str">
        <f t="shared" ca="1" si="3"/>
        <v>Passed</v>
      </c>
    </row>
    <row r="38" spans="2:11" ht="15.75" thickBot="1">
      <c r="B38" s="289">
        <v>45989</v>
      </c>
      <c r="C38" s="290" t="str">
        <f t="shared" ref="C38" si="8">IF(ISNUMBER(FIND("?", B38, 1)), "TBD", TEXT(B38, "ddd"))</f>
        <v>Fri</v>
      </c>
      <c r="D38" s="291">
        <v>0.29166666666666669</v>
      </c>
      <c r="E38" s="291">
        <v>0.66666666666666663</v>
      </c>
      <c r="F38" s="292">
        <f>((E38 - D38) * 24)</f>
        <v>8.9999999999999982</v>
      </c>
      <c r="G38" s="290">
        <f>IF(F38 &gt; 4, (F38 - 1), F38)</f>
        <v>7.9999999999999982</v>
      </c>
      <c r="H38" s="293" t="s">
        <v>4</v>
      </c>
      <c r="I38" s="197" t="s">
        <v>20</v>
      </c>
      <c r="J38" s="294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295">
        <v>45999</v>
      </c>
      <c r="C39" s="296" t="str">
        <f t="shared" si="0"/>
        <v>Mon</v>
      </c>
      <c r="D39" s="297">
        <v>0.60416666666666663</v>
      </c>
      <c r="E39" s="297">
        <v>0.66666666666666663</v>
      </c>
      <c r="F39" s="298">
        <f>((E39 - D39) * 24)</f>
        <v>1.5</v>
      </c>
      <c r="G39" s="296">
        <f>IF(F39 &gt; 4, (F39 - 1), F39)</f>
        <v>1.5</v>
      </c>
      <c r="H39" s="299" t="s">
        <v>32</v>
      </c>
      <c r="I39" s="196" t="s">
        <v>20</v>
      </c>
      <c r="J39" s="300" t="s">
        <v>61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64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65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2026-05-04T11:09:15Z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