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1CD2631E-8BE9-4919-BB9C-5254004147A9}" xr6:coauthVersionLast="47" xr6:coauthVersionMax="47" xr10:uidLastSave="{00000000-0000-0000-0000-000000000000}"/>
  <bookViews>
    <workbookView xWindow="4380" yWindow="0" windowWidth="28800" windowHeight="20985" activeTab="1" xr2:uid="{27E0B3AA-74C4-485B-A59F-76780996FF82}"/>
  </bookViews>
  <sheets>
    <sheet name="2027" sheetId="8" r:id="rId1"/>
    <sheet name="2026" sheetId="7" r:id="rId2"/>
    <sheet name="2025_Original" sheetId="5" state="hidden" r:id="rId3"/>
    <sheet name="2025" sheetId="6" r:id="rId4"/>
    <sheet name="2024" sheetId="1" r:id="rId5"/>
    <sheet name="Template" sheetId="2" r:id="rId6"/>
  </sheets>
  <definedNames>
    <definedName name="_xlnm._FilterDatabase" localSheetId="4" hidden="1">'2024'!$B$12:$G$43</definedName>
    <definedName name="_xlnm._FilterDatabase" localSheetId="3" hidden="1">'2025'!$B$13:$K$48</definedName>
    <definedName name="_xlnm._FilterDatabase" localSheetId="2" hidden="1">'2025_Original'!$B$13:$H$44</definedName>
    <definedName name="_xlnm._FilterDatabase" localSheetId="1" hidden="1">'2026'!$B$13:$K$50</definedName>
    <definedName name="_xlnm._FilterDatabase" localSheetId="0" hidden="1">'2027'!$B$13:$L$20</definedName>
    <definedName name="_xlnm._FilterDatabase" localSheetId="5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7" l="1"/>
  <c r="G41" i="7" s="1"/>
  <c r="C41" i="7"/>
  <c r="L41" i="7" s="1"/>
  <c r="C40" i="7"/>
  <c r="L40" i="7" s="1"/>
  <c r="F40" i="7" l="1"/>
  <c r="G40" i="7" s="1"/>
  <c r="F39" i="7"/>
  <c r="G39" i="7" s="1"/>
  <c r="C39" i="7"/>
  <c r="L39" i="7" s="1"/>
  <c r="F31" i="7"/>
  <c r="G31" i="7" s="1"/>
  <c r="C31" i="7"/>
  <c r="L31" i="7" s="1"/>
  <c r="F20" i="7"/>
  <c r="G20" i="7" s="1"/>
  <c r="C20" i="7"/>
  <c r="L20" i="7" s="1"/>
  <c r="F21" i="7"/>
  <c r="G21" i="7" s="1"/>
  <c r="C21" i="7"/>
  <c r="L21" i="7" s="1"/>
  <c r="G17" i="8"/>
  <c r="F17" i="8"/>
  <c r="C17" i="8"/>
  <c r="L17" i="8" s="1"/>
  <c r="K3" i="8" a="1"/>
  <c r="K3" i="8" s="1"/>
  <c r="C15" i="8"/>
  <c r="L15" i="8" s="1"/>
  <c r="F15" i="8"/>
  <c r="G15" i="8" s="1"/>
  <c r="C16" i="8"/>
  <c r="L16" i="8" s="1"/>
  <c r="F16" i="8"/>
  <c r="G16" i="8" s="1"/>
  <c r="V18" i="8"/>
  <c r="F19" i="8"/>
  <c r="G19" i="8" s="1"/>
  <c r="C19" i="8"/>
  <c r="L19" i="8" s="1"/>
  <c r="W18" i="8"/>
  <c r="F18" i="8"/>
  <c r="G18" i="8" s="1"/>
  <c r="C18" i="8"/>
  <c r="L18" i="8" s="1"/>
  <c r="F14" i="8"/>
  <c r="C14" i="8"/>
  <c r="L14" i="8" s="1"/>
  <c r="C11" i="8"/>
  <c r="E10" i="8"/>
  <c r="E11" i="8" s="1"/>
  <c r="C9" i="8"/>
  <c r="C7" i="8"/>
  <c r="E6" i="8"/>
  <c r="D6" i="8" s="1"/>
  <c r="D7" i="8" s="1"/>
  <c r="F19" i="7"/>
  <c r="G19" i="7" s="1"/>
  <c r="C19" i="7"/>
  <c r="L19" i="7" s="1"/>
  <c r="C24" i="7"/>
  <c r="C18" i="7"/>
  <c r="P50" i="7"/>
  <c r="O42" i="7"/>
  <c r="O43" i="7" s="1"/>
  <c r="O44" i="7" s="1"/>
  <c r="O45" i="7" s="1"/>
  <c r="O46" i="7" s="1"/>
  <c r="O47" i="7" s="1"/>
  <c r="O48" i="7" s="1"/>
  <c r="O49" i="7" s="1"/>
  <c r="O50" i="7" s="1"/>
  <c r="F17" i="7"/>
  <c r="G17" i="7" s="1"/>
  <c r="C17" i="7"/>
  <c r="L17" i="7" s="1"/>
  <c r="F23" i="7"/>
  <c r="G23" i="7" s="1"/>
  <c r="C23" i="7"/>
  <c r="L23" i="7" s="1"/>
  <c r="F37" i="7"/>
  <c r="G37" i="7" s="1"/>
  <c r="C37" i="7"/>
  <c r="L37" i="7" s="1"/>
  <c r="F38" i="7"/>
  <c r="G38" i="7" s="1"/>
  <c r="C38" i="7"/>
  <c r="L38" i="7" s="1"/>
  <c r="F35" i="7"/>
  <c r="G35" i="7" s="1"/>
  <c r="C35" i="7"/>
  <c r="L35" i="7" s="1"/>
  <c r="C16" i="7"/>
  <c r="L16" i="7" s="1"/>
  <c r="F16" i="7"/>
  <c r="G16" i="7" s="1"/>
  <c r="F15" i="7"/>
  <c r="G15" i="7" s="1"/>
  <c r="C15" i="7"/>
  <c r="L15" i="7" s="1"/>
  <c r="F18" i="7"/>
  <c r="G18" i="7" s="1"/>
  <c r="C22" i="7"/>
  <c r="F22" i="7"/>
  <c r="G22" i="7" s="1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29" i="7"/>
  <c r="F29" i="7"/>
  <c r="G29" i="7" s="1"/>
  <c r="C30" i="7"/>
  <c r="F30" i="7"/>
  <c r="G30" i="7" s="1"/>
  <c r="C32" i="7"/>
  <c r="F32" i="7"/>
  <c r="G32" i="7" s="1"/>
  <c r="C33" i="7"/>
  <c r="F33" i="7"/>
  <c r="G33" i="7" s="1"/>
  <c r="C34" i="7"/>
  <c r="F34" i="7"/>
  <c r="G34" i="7" s="1"/>
  <c r="C36" i="7"/>
  <c r="F36" i="7"/>
  <c r="G36" i="7" s="1"/>
  <c r="C42" i="7"/>
  <c r="F42" i="7"/>
  <c r="G42" i="7" s="1"/>
  <c r="C43" i="7"/>
  <c r="F43" i="7"/>
  <c r="G43" i="7" s="1"/>
  <c r="C44" i="7"/>
  <c r="F44" i="7"/>
  <c r="G44" i="7" s="1"/>
  <c r="C45" i="7"/>
  <c r="F45" i="7"/>
  <c r="G45" i="7" s="1"/>
  <c r="C46" i="7"/>
  <c r="F46" i="7"/>
  <c r="G46" i="7" s="1"/>
  <c r="C47" i="7"/>
  <c r="F47" i="7"/>
  <c r="G47" i="7" s="1"/>
  <c r="C48" i="7"/>
  <c r="F48" i="7"/>
  <c r="G48" i="7" s="1"/>
  <c r="C49" i="7"/>
  <c r="F49" i="7"/>
  <c r="G49" i="7" s="1"/>
  <c r="E6" i="7" l="1"/>
  <c r="F20" i="8"/>
  <c r="G14" i="8"/>
  <c r="E8" i="8" s="1"/>
  <c r="D8" i="8" s="1"/>
  <c r="D9" i="8" s="1"/>
  <c r="E7" i="8"/>
  <c r="D10" i="8"/>
  <c r="D11" i="8" s="1"/>
  <c r="F14" i="7"/>
  <c r="C14" i="7"/>
  <c r="L14" i="7" s="1"/>
  <c r="L36" i="7"/>
  <c r="L18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G20" i="8" l="1"/>
  <c r="E9" i="8"/>
  <c r="G14" i="7"/>
  <c r="F50" i="7"/>
  <c r="E10" i="7"/>
  <c r="E11" i="7" s="1"/>
  <c r="L22" i="7"/>
  <c r="L44" i="7"/>
  <c r="L46" i="7"/>
  <c r="L47" i="7"/>
  <c r="L45" i="7"/>
  <c r="L43" i="7"/>
  <c r="L42" i="7"/>
  <c r="L26" i="7"/>
  <c r="L27" i="7"/>
  <c r="L28" i="7"/>
  <c r="L29" i="7"/>
  <c r="L30" i="7"/>
  <c r="L32" i="7"/>
  <c r="L33" i="7"/>
  <c r="L34" i="7"/>
  <c r="L25" i="7"/>
  <c r="L24" i="7"/>
  <c r="L49" i="7"/>
  <c r="L48" i="7"/>
  <c r="C11" i="7"/>
  <c r="C9" i="7"/>
  <c r="C7" i="7"/>
  <c r="K3" i="7" a="1"/>
  <c r="K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8" i="7" l="1"/>
  <c r="G50" i="7"/>
  <c r="D10" i="7"/>
  <c r="D11" i="7" s="1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C4" i="8" a="1"/>
  <c r="C4" i="8" l="1"/>
  <c r="C3" i="8" s="1"/>
  <c r="E5" i="7"/>
  <c r="C5" i="7"/>
  <c r="D3" i="6"/>
  <c r="D5" i="6" s="1"/>
  <c r="C5" i="8" l="1"/>
  <c r="E3" i="8"/>
  <c r="E5" i="8" s="1"/>
  <c r="D3" i="7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3" i="8" l="1"/>
  <c r="D5" i="8" s="1"/>
  <c r="D10" i="5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<sst xmlns="http://schemas.openxmlformats.org/spreadsheetml/2006/main" count="592" uniqueCount="95">
  <si>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</si>
  <si>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</si>
  <si>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</si>
  <si>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</si>
  <si>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</si>
  <si>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</si>
  <si>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</si>
  <si>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</si>
  <si>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</si>
  <si>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</si>
  <si>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</si>
  <si>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</si>
  <si>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</si>
  <si>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</si>
  <si>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</si>
  <si>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</si>
  <si>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</si>
  <si>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</si>
  <si>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</si>
  <si>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</si>
  <si>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</si>
  <si>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</si>
  <si>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</si>
  <si>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</si>
  <si>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</si>
  <si>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</si>
  <si>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</si>
  <si>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</si>
  <si>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</si>
  <si>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</si>
  <si>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</si>
  <si>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</si>
  <si>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</si>
  <si>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</si>
  <si>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</si>
  <si>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</si>
  <si>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</si>
  <si>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</si>
  <si>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</si>
  <si>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</si>
  <si>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</si>
  <si>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</si>
  <si>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</si>
  <si>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</si>
  <si>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</si>
  <si>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</si>
  <si>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</si>
  <si>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</si>
  <si>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</si>
  <si>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</si>
  <si>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</si>
  <si>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</si>
  <si>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</si>
  <si>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</si>
  <si>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</si>
  <si>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</si>
  <si>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</si>
  <si>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</si>
  <si>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</si>
  <si>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</si>
  <si>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</si>
  <si>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</si>
  <si>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</si>
  <si>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</si>
  <si>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</si>
  <si>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</si>
  <si>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</si>
  <si>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</si>
  <si>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</si>
  <si>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</si>
  <si>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</si>
  <si>
    <t>Kids' first day of school</t>
  </si>
  <si>
    <t>Doctor (split across PTO &amp; Be You)</t>
  </si>
  <si>
    <t>Rubi to Fox (brakes)</t>
  </si>
  <si>
    <t>Anniversary</t>
  </si>
  <si>
    <t>Year</t>
  </si>
  <si>
    <t>1st - 02/12/2025</t>
  </si>
  <si>
    <t>2nd - 02/14/2026</t>
  </si>
  <si>
    <t>3rd - 02/14/2027</t>
  </si>
  <si>
    <t>4th - 02/14/2028</t>
  </si>
  <si>
    <t>5th - 02/14/2029</t>
  </si>
  <si>
    <t>6th - 02/14/2030</t>
  </si>
  <si>
    <t>7th - 02/14/2031</t>
  </si>
  <si>
    <t>8th - 02/14/2032</t>
  </si>
  <si>
    <t>9th - 02/14/2033</t>
  </si>
  <si>
    <t>10th - 02/14/2034</t>
  </si>
  <si>
    <t>Fieldtrip / Friday before Memorial Day</t>
  </si>
  <si>
    <t>UKG
Approved?</t>
  </si>
  <si>
    <t>Garage door replacement quote</t>
  </si>
  <si>
    <t>KY / Ark</t>
  </si>
  <si>
    <t>Barn garage door operator replacement
(split request only in this tracker / one request in UKG)</t>
  </si>
  <si>
    <t>Not sick / BTTB
(split request only in this tracker / one request in UKG)</t>
  </si>
  <si>
    <t>BTTB Main Event Week
(split request only in this tracker / one request in UKG)</t>
  </si>
  <si>
    <t>Sick (vomiting on way home from doc appt)</t>
  </si>
  <si>
    <t>Not sick / Sparky undercoating, Ren maintenance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</si>
</sst>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7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75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  <xf numFmtId="165" fontId="0" fillId="10" borderId="8" xfId="0" applyNumberFormat="1" applyFill="1" applyBorder="1" applyAlignment="1">
      <alignment horizontal="center"/>
    </xf>
    <xf numFmtId="0" fontId="0" fillId="10" borderId="36" xfId="0" applyFill="1" applyBorder="1" applyAlignment="1">
      <alignment horizontal="center"/>
    </xf>
    <xf numFmtId="18" fontId="0" fillId="10" borderId="6" xfId="0" applyNumberFormat="1" applyFill="1" applyBorder="1" applyAlignment="1">
      <alignment horizontal="center"/>
    </xf>
    <xf numFmtId="0" fontId="0" fillId="10" borderId="75" xfId="0" applyFill="1" applyBorder="1" applyAlignment="1">
      <alignment horizontal="center"/>
    </xf>
    <xf numFmtId="0" fontId="0" fillId="10" borderId="70" xfId="0" applyFill="1" applyBorder="1" applyAlignment="1">
      <alignment horizontal="center"/>
    </xf>
    <xf numFmtId="0" fontId="0" fillId="10" borderId="5" xfId="0" applyFill="1" applyBorder="1" applyAlignment="1">
      <alignment horizontal="center" wrapText="1"/>
    </xf>
    <xf numFmtId="165" fontId="0" fillId="10" borderId="9" xfId="0" applyNumberFormat="1" applyFill="1" applyBorder="1" applyAlignment="1">
      <alignment horizontal="center"/>
    </xf>
    <xf numFmtId="0" fontId="0" fillId="10" borderId="47" xfId="0" applyFill="1" applyBorder="1" applyAlignment="1">
      <alignment horizontal="center"/>
    </xf>
    <xf numFmtId="18" fontId="0" fillId="10" borderId="7" xfId="0" applyNumberForma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 wrapText="1"/>
    </xf>
    <xf numFmtId="0" fontId="0" fillId="3" borderId="69" xfId="0" applyFill="1" applyBorder="1" applyAlignment="1">
      <alignment horizontal="center" wrapText="1"/>
    </xf>
    <xf numFmtId="165" fontId="0" fillId="11" borderId="8" xfId="0" applyNumberFormat="1" applyFill="1" applyBorder="1" applyAlignment="1">
      <alignment horizontal="center"/>
    </xf>
    <xf numFmtId="0" fontId="0" fillId="11" borderId="36" xfId="0" applyFill="1" applyBorder="1" applyAlignment="1">
      <alignment horizontal="center"/>
    </xf>
    <xf numFmtId="18" fontId="0" fillId="11" borderId="6" xfId="0" applyNumberFormat="1" applyFill="1" applyBorder="1" applyAlignment="1">
      <alignment horizontal="center"/>
    </xf>
    <xf numFmtId="0" fontId="0" fillId="11" borderId="75" xfId="0" applyFill="1" applyBorder="1" applyAlignment="1">
      <alignment horizontal="center"/>
    </xf>
    <xf numFmtId="0" fontId="0" fillId="11" borderId="70" xfId="0" applyFill="1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3" borderId="70" xfId="0" applyFill="1" applyBorder="1" applyAlignment="1">
      <alignment horizontal="center" wrapText="1"/>
    </xf>
    <xf numFmtId="165" fontId="0" fillId="11" borderId="17" xfId="0" applyNumberFormat="1" applyFill="1" applyBorder="1" applyAlignment="1">
      <alignment horizontal="center"/>
    </xf>
    <xf numFmtId="0" fontId="0" fillId="11" borderId="39" xfId="0" applyFill="1" applyBorder="1" applyAlignment="1">
      <alignment horizontal="center"/>
    </xf>
    <xf numFmtId="18" fontId="0" fillId="11" borderId="15" xfId="0" applyNumberFormat="1" applyFill="1" applyBorder="1" applyAlignment="1">
      <alignment horizontal="center"/>
    </xf>
    <xf numFmtId="0" fontId="0" fillId="11" borderId="69" xfId="0" applyFill="1" applyBorder="1" applyAlignment="1">
      <alignment horizontal="center"/>
    </xf>
    <xf numFmtId="0" fontId="0" fillId="11" borderId="38" xfId="0" applyFill="1" applyBorder="1" applyAlignment="1">
      <alignment horizontal="center" wrapText="1"/>
    </xf>
    <xf numFmtId="0" fontId="0" fillId="2" borderId="23" xfId="0" applyFill="1" applyBorder="1" applyAlignment="1">
      <alignment horizontal="center"/>
    </xf>
    <xf numFmtId="0" fontId="0" fillId="6" borderId="17" xfId="0" applyFill="1" applyBorder="1"/>
    <xf numFmtId="0" fontId="0" fillId="6" borderId="38" xfId="0" applyFill="1" applyBorder="1" applyAlignment="1">
      <alignment horizontal="center"/>
    </xf>
    <xf numFmtId="0" fontId="0" fillId="6" borderId="18" xfId="0" applyFill="1" applyBorder="1"/>
    <xf numFmtId="0" fontId="0" fillId="6" borderId="1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6" fillId="6" borderId="11" xfId="0" applyFont="1" applyFill="1" applyBorder="1"/>
    <xf numFmtId="0" fontId="6" fillId="6" borderId="1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17" xfId="0" applyFont="1" applyFill="1" applyBorder="1"/>
    <xf numFmtId="0" fontId="6" fillId="6" borderId="15" xfId="0" applyFont="1" applyFill="1" applyBorder="1" applyAlignment="1">
      <alignment horizontal="center"/>
    </xf>
    <xf numFmtId="0" fontId="6" fillId="6" borderId="38" xfId="0" applyFont="1" applyFill="1" applyBorder="1" applyAlignment="1">
      <alignment horizontal="center"/>
    </xf>
    <xf numFmtId="18" fontId="0" fillId="2" borderId="21" xfId="0" applyNumberFormat="1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18" fontId="0" fillId="4" borderId="45" xfId="0" applyNumberFormat="1" applyFill="1" applyBorder="1" applyAlignment="1">
      <alignment horizontal="center"/>
    </xf>
    <xf numFmtId="0" fontId="0" fillId="4" borderId="72" xfId="0" applyFill="1" applyBorder="1" applyAlignment="1">
      <alignment horizontal="center"/>
    </xf>
    <xf numFmtId="0" fontId="0" fillId="4" borderId="59" xfId="0" applyFill="1" applyBorder="1" applyAlignment="1">
      <alignment horizontal="center"/>
    </xf>
    <xf numFmtId="0" fontId="0" fillId="4" borderId="5" xfId="0" applyFill="1" applyBorder="1" applyAlignment="1">
      <alignment horizontal="center" wrapText="1"/>
    </xf>
    <xf numFmtId="0" fontId="0" fillId="2" borderId="36" xfId="0" applyFill="1" applyBorder="1" applyAlignment="1">
      <alignment horizontal="center"/>
    </xf>
    <xf numFmtId="18" fontId="0" fillId="2" borderId="6" xfId="0" applyNumberFormat="1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18" fontId="0" fillId="4" borderId="12" xfId="0" applyNumberFormat="1" applyFill="1" applyBorder="1" applyAlignment="1">
      <alignment horizontal="center"/>
    </xf>
    <xf numFmtId="0" fontId="0" fillId="4" borderId="65" xfId="0" applyFill="1" applyBorder="1" applyAlignment="1">
      <alignment horizontal="center"/>
    </xf>
    <xf numFmtId="0" fontId="0" fillId="4" borderId="55" xfId="0" applyFill="1" applyBorder="1" applyAlignment="1">
      <alignment horizontal="center"/>
    </xf>
    <xf numFmtId="0" fontId="0" fillId="4" borderId="2" xfId="0" applyFill="1" applyBorder="1" applyAlignment="1">
      <alignment horizontal="center" wrapText="1"/>
    </xf>
    <xf numFmtId="0" fontId="0" fillId="10" borderId="72" xfId="0" applyFill="1" applyBorder="1" applyAlignment="1">
      <alignment horizontal="center"/>
    </xf>
    <xf numFmtId="0" fontId="0" fillId="9" borderId="2" xfId="0" applyFill="1" applyBorder="1" applyAlignment="1">
      <alignment horizontal="center" wrapText="1"/>
    </xf>
    <xf numFmtId="165" fontId="0" fillId="9" borderId="8" xfId="0" applyNumberFormat="1" applyFill="1" applyBorder="1" applyAlignment="1">
      <alignment horizontal="center"/>
    </xf>
    <xf numFmtId="0" fontId="0" fillId="9" borderId="36" xfId="0" applyFill="1" applyBorder="1" applyAlignment="1">
      <alignment horizontal="center"/>
    </xf>
    <xf numFmtId="18" fontId="0" fillId="9" borderId="6" xfId="0" applyNumberFormat="1" applyFill="1" applyBorder="1" applyAlignment="1">
      <alignment horizontal="center"/>
    </xf>
    <xf numFmtId="0" fontId="0" fillId="9" borderId="75" xfId="0" applyFill="1" applyBorder="1" applyAlignment="1">
      <alignment horizontal="center"/>
    </xf>
    <xf numFmtId="0" fontId="0" fillId="9" borderId="70" xfId="0" applyFill="1" applyBorder="1" applyAlignment="1">
      <alignment horizontal="center"/>
    </xf>
    <xf numFmtId="0" fontId="0" fillId="9" borderId="5" xfId="0" applyFill="1" applyBorder="1" applyAlignment="1">
      <alignment horizontal="center" wrapText="1"/>
    </xf>
  </cellXfs>
  <cellStyles count="1">
    <cellStyle name="Normal" xfId="0" builtinId="0"/>
  </cellStyles>
  <dxfs count="27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557336</xdr:colOff>
      <xdr:row>38</xdr:row>
      <xdr:rowOff>81149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8C3E9-F834-4D64-929C-81E8E2BE83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96588" y="233083"/>
          <a:ext cx="2891523" cy="7473669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7895A9-0321-4EFE-9908-89A338260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07610" y="190499"/>
          <a:ext cx="6471177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29</xdr:row>
      <xdr:rowOff>129358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59B168-469E-49AB-8991-18598CE09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213479" y="2437279"/>
          <a:ext cx="5109473" cy="3611587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22</xdr:row>
      <xdr:rowOff>100853</xdr:rowOff>
    </xdr:from>
    <xdr:to>
      <xdr:col>27</xdr:col>
      <xdr:colOff>178174</xdr:colOff>
      <xdr:row>42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823C333-C0F8-45D6-BD73-FF613F4B6C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20423" y="9378203"/>
          <a:ext cx="6441701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53071</xdr:colOff>
      <xdr:row>34</xdr:row>
      <xdr:rowOff>58737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27</xdr:row>
      <xdr:rowOff>140563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88116" y="2442882"/>
          <a:ext cx="5096586" cy="3625594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52</xdr:row>
      <xdr:rowOff>100853</xdr:rowOff>
    </xdr:from>
    <xdr:to>
      <xdr:col>27</xdr:col>
      <xdr:colOff>178175</xdr:colOff>
      <xdr:row>72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1213-B148-403C-9F48-0EB30902282E}">
  <dimension ref="B1:W20"/>
  <sheetViews>
    <sheetView zoomScale="85" zoomScaleNormal="85" workbookViewId="0">
      <pane ySplit="13" topLeftCell="A14" activePane="bottomLeft" state="frozen"/>
      <selection pane="bottomLeft" activeCell="B14" sqref="B14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2">
      <c r="B3" s="4" t="s">
        <v>6</v>
      </c>
      <c r="C3" s="3">
        <f ca="1">160+C4</f>
        <v>184</v>
      </c>
      <c r="D3" s="3">
        <f ca="1">C3-E3</f>
        <v>56</v>
      </c>
      <c r="E3" s="1">
        <f ca="1">C3 - C6 - SUMIF(H14:H19, "PTO", G14:G19)</f>
        <v>128</v>
      </c>
      <c r="K3" s="56" t="str" cm="1">
        <f t="array" aca="1" ref="K3" ca="1">"PTO Reset: 02/12/" &amp; (RIGHT(CELL("filename", A2),LEN(CELL("filename", A2)) - SEARCH("]", CELL("filename", A2)))) + 1</f>
        <v>PTO Reset: 02/12/2028</v>
      </c>
    </row>
    <row r="4" spans="2:12">
      <c r="B4" s="5" t="s">
        <v>38</v>
      </c>
      <c r="C4" s="2" cm="1">
        <f t="array" aca="1" ref="C4" ca="1">IF((RIGHT(CELL("filename", A2), LEN(CELL("filename", A2)) - SEARCH("]", CELL("filename", A2)))) &lt;&gt; "Template", (INDIRECT("'" &amp; (RIGHT(CELL("filename", A2), LEN(CELL("filename", A2)) - SEARCH("]", CELL("filename", A2)))) - 1 &amp; "'!E3")) + (INDIRECT("'" &amp; (RIGHT(CELL("filename", A3), LEN(CELL("filename", A3)) - SEARCH("]", CELL("filename",A3)))) - 1 &amp; "'!E6")), 0)</f>
        <v>24.000000000000007</v>
      </c>
      <c r="D4" s="74"/>
      <c r="E4" s="75"/>
    </row>
    <row r="5" spans="2:12" ht="15.75" thickBot="1">
      <c r="B5" s="6" t="s">
        <v>5</v>
      </c>
      <c r="C5" s="7">
        <f ca="1">C3/8</f>
        <v>23</v>
      </c>
      <c r="D5" s="7">
        <f ca="1">D3/8</f>
        <v>7</v>
      </c>
      <c r="E5" s="8">
        <f ca="1">E3/8</f>
        <v>16</v>
      </c>
    </row>
    <row r="6" spans="2:12">
      <c r="B6" s="9" t="s">
        <v>15</v>
      </c>
      <c r="C6" s="10">
        <v>40</v>
      </c>
      <c r="D6" s="10">
        <f>C6-E6</f>
        <v>0</v>
      </c>
      <c r="E6" s="11">
        <f>C6 - SUMIF(H14:H19, "Sick", G14:G19)</f>
        <v>40</v>
      </c>
    </row>
    <row r="7" spans="2:12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2">
      <c r="B8" s="5" t="s">
        <v>7</v>
      </c>
      <c r="C8" s="2">
        <v>16</v>
      </c>
      <c r="D8" s="2">
        <f>C8-E8</f>
        <v>0</v>
      </c>
      <c r="E8" s="1">
        <f>C8 - SUMIF(H14:H19, "Be You", G14:G19)</f>
        <v>16</v>
      </c>
      <c r="K8" s="51"/>
    </row>
    <row r="9" spans="2:12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12">
      <c r="B10" s="127" t="s">
        <v>22</v>
      </c>
      <c r="C10" s="128">
        <v>4</v>
      </c>
      <c r="D10" s="128">
        <f>C10-E10</f>
        <v>0</v>
      </c>
      <c r="E10" s="129">
        <f>C10 - SUMIF(H14:H19, "Volunteer", G14:G19)</f>
        <v>4</v>
      </c>
      <c r="K10" s="36"/>
    </row>
    <row r="11" spans="2:12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/>
      <c r="C14" s="240" t="str">
        <f t="shared" ref="C14:C19" si="0">IF(ISNUMBER(FIND("?", B14, 1)), "TBD", TEXT(B14, "ddd"))</f>
        <v>Sat</v>
      </c>
      <c r="D14" s="241"/>
      <c r="E14" s="241"/>
      <c r="F14" s="257">
        <f>((E14 - D14) * 24)</f>
        <v>0</v>
      </c>
      <c r="G14" s="240">
        <f t="shared" ref="G14:G19" si="1">IF(F14 &gt; 4, (F14 - 1), F14)</f>
        <v>0</v>
      </c>
      <c r="H14" s="242"/>
      <c r="I14" s="196" t="s">
        <v>28</v>
      </c>
      <c r="J14" s="196" t="s">
        <v>28</v>
      </c>
      <c r="K14" s="243"/>
      <c r="L14" s="42" t="str">
        <f t="shared" ref="L14:L19" ca="1" si="2">IF(C14 = "TBD", "TBD", IF(B14 = "", "IDK!!", IF(TODAY() &gt; B14, "Passed", IF(TODAY() = B14, "Today!!", "Upcoming"))))</f>
        <v>IDK!!</v>
      </c>
    </row>
    <row r="15" spans="2:12" ht="15.75" thickBot="1">
      <c r="B15" s="306"/>
      <c r="C15" s="307" t="str">
        <f t="shared" si="0"/>
        <v>Sat</v>
      </c>
      <c r="D15" s="308"/>
      <c r="E15" s="308"/>
      <c r="F15" s="309">
        <f>((E15 - D15) * 24)</f>
        <v>0</v>
      </c>
      <c r="G15" s="307">
        <f>IF(F15 &gt; 4, (F15 - 1), F15)</f>
        <v>0</v>
      </c>
      <c r="H15" s="310"/>
      <c r="I15" s="244" t="s">
        <v>28</v>
      </c>
      <c r="J15" s="244" t="s">
        <v>28</v>
      </c>
      <c r="K15" s="311"/>
      <c r="L15" s="60" t="str">
        <f t="shared" ca="1" si="2"/>
        <v>IDK!!</v>
      </c>
    </row>
    <row r="16" spans="2:12">
      <c r="B16" s="282">
        <v>46717</v>
      </c>
      <c r="C16" s="355" t="str">
        <f t="shared" si="0"/>
        <v>Fri</v>
      </c>
      <c r="D16" s="356">
        <v>0.29166666666666669</v>
      </c>
      <c r="E16" s="356">
        <v>0.66666666666666663</v>
      </c>
      <c r="F16" s="357">
        <f>((E16 - D16) * 24)</f>
        <v>8.9999999999999982</v>
      </c>
      <c r="G16" s="355">
        <f>IF(F16 &gt; 4, (F16 - 1), F16)</f>
        <v>7.9999999999999982</v>
      </c>
      <c r="H16" s="358" t="s">
        <v>4</v>
      </c>
      <c r="I16" s="202" t="s">
        <v>28</v>
      </c>
      <c r="J16" s="327" t="s">
        <v>28</v>
      </c>
      <c r="K16" s="288" t="s">
        <v>89</v>
      </c>
      <c r="L16" s="251" t="str">
        <f t="shared" ca="1" si="2"/>
        <v>Upcoming</v>
      </c>
    </row>
    <row r="17" spans="2:23" ht="15.75" thickBot="1">
      <c r="B17" s="104">
        <v>46720</v>
      </c>
      <c r="C17" s="312" t="str">
        <f>IF(ISNUMBER(FIND("?", B17, 1)), "TBD", TEXT(B17, "ddd"))</f>
        <v>Mon</v>
      </c>
      <c r="D17" s="313">
        <v>0.29166666666666669</v>
      </c>
      <c r="E17" s="313">
        <v>0.66666666666666663</v>
      </c>
      <c r="F17" s="357">
        <f>((E17 - D17) * 24)</f>
        <v>8.9999999999999982</v>
      </c>
      <c r="G17" s="312">
        <f>IF(F17 &gt; 4, (F17 - 1), F17)</f>
        <v>7.9999999999999982</v>
      </c>
      <c r="H17" s="315" t="s">
        <v>4</v>
      </c>
      <c r="I17" s="244" t="s">
        <v>28</v>
      </c>
      <c r="J17" s="244" t="s">
        <v>28</v>
      </c>
      <c r="K17" s="359" t="s">
        <v>89</v>
      </c>
      <c r="L17" s="60" t="str">
        <f ca="1">IF(C17 = "TBD", "TBD", IF(B17 = "", "IDK!!", IF(TODAY() &gt; B17, "Passed", IF(TODAY() = B17, "Today!!", "Upcoming"))))</f>
        <v>Upcoming</v>
      </c>
    </row>
    <row r="18" spans="2:23" ht="15.75" thickBot="1">
      <c r="B18" s="102"/>
      <c r="C18" s="165" t="str">
        <f t="shared" si="0"/>
        <v>Sat</v>
      </c>
      <c r="D18" s="157"/>
      <c r="E18" s="157"/>
      <c r="F18" s="220">
        <f t="shared" ref="F18:F19" si="3">((E18 - D18) * 24)</f>
        <v>0</v>
      </c>
      <c r="G18" s="217">
        <f t="shared" si="1"/>
        <v>0</v>
      </c>
      <c r="H18" s="180"/>
      <c r="I18" s="197" t="s">
        <v>66</v>
      </c>
      <c r="J18" s="197" t="s">
        <v>66</v>
      </c>
      <c r="K18" s="205"/>
      <c r="L18" s="252" t="str">
        <f t="shared" ca="1" si="2"/>
        <v>IDK!!</v>
      </c>
      <c r="U18" s="345" t="s">
        <v>85</v>
      </c>
      <c r="V18" s="346" t="e">
        <f>#REF!+1</f>
        <v>#REF!</v>
      </c>
      <c r="W18" s="347">
        <f>192 + 10</f>
        <v>202</v>
      </c>
    </row>
    <row r="19" spans="2:23" ht="15.75" thickBot="1">
      <c r="B19" s="259"/>
      <c r="C19" s="253" t="str">
        <f t="shared" si="0"/>
        <v>Sat</v>
      </c>
      <c r="D19" s="260"/>
      <c r="E19" s="260"/>
      <c r="F19" s="261">
        <f t="shared" si="3"/>
        <v>0</v>
      </c>
      <c r="G19" s="253">
        <f t="shared" si="1"/>
        <v>0</v>
      </c>
      <c r="H19" s="254"/>
      <c r="I19" s="202" t="s">
        <v>66</v>
      </c>
      <c r="J19" s="202" t="s">
        <v>66</v>
      </c>
      <c r="K19" s="255"/>
      <c r="L19" s="251" t="str">
        <f t="shared" ca="1" si="2"/>
        <v>IDK!!</v>
      </c>
    </row>
    <row r="20" spans="2:23" ht="15.75" thickBot="1">
      <c r="B20" s="86" t="s">
        <v>11</v>
      </c>
      <c r="C20" s="303"/>
      <c r="D20" s="304"/>
      <c r="E20" s="305"/>
      <c r="F20" s="228">
        <f>SUM(F14:F19)</f>
        <v>17.999999999999996</v>
      </c>
      <c r="G20" s="256">
        <f>SUM(G14:G19)</f>
        <v>15.999999999999996</v>
      </c>
      <c r="H20" s="301"/>
      <c r="I20" s="302"/>
      <c r="J20" s="302"/>
      <c r="K20" s="302"/>
      <c r="L20" s="302"/>
    </row>
  </sheetData>
  <autoFilter ref="B13:K20" xr:uid="{4B51B8F7-4ACE-45CA-965B-2AD2897F333A}"/>
  <conditionalFormatting sqref="B14:L19">
    <cfRule type="expression" dxfId="26" priority="2">
      <formula>$L14="Passed"</formula>
    </cfRule>
  </conditionalFormatting>
  <conditionalFormatting sqref="C14:F19 L14:L19">
    <cfRule type="cellIs" dxfId="25" priority="3" operator="equal">
      <formula>"TBD"</formula>
    </cfRule>
  </conditionalFormatting>
  <conditionalFormatting sqref="E3 E5">
    <cfRule type="cellIs" dxfId="24" priority="4" operator="greaterThan">
      <formula>0</formula>
    </cfRule>
  </conditionalFormatting>
  <conditionalFormatting sqref="E3 E5:E11">
    <cfRule type="cellIs" dxfId="23" priority="6" operator="lessThanOrEqual">
      <formula>0</formula>
    </cfRule>
  </conditionalFormatting>
  <conditionalFormatting sqref="I14:J19">
    <cfRule type="cellIs" dxfId="22" priority="1" operator="equal">
      <formula>"N/A"</formula>
    </cfRule>
    <cfRule type="cellIs" dxfId="21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P50"/>
  <sheetViews>
    <sheetView tabSelected="1"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4" max="14" width="16.5703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2">
      <c r="B3" s="4" t="s">
        <v>6</v>
      </c>
      <c r="C3" s="3">
        <f ca="1">160+C4</f>
        <v>168.5</v>
      </c>
      <c r="D3" s="3">
        <f ca="1">C3-E3</f>
        <v>168.5</v>
      </c>
      <c r="E3" s="1">
        <f ca="1">C3 - C6 - SUMIF(H14:H49, "PTO", G14:G49)</f>
        <v>0</v>
      </c>
      <c r="K3" s="56" t="str" cm="1">
        <f t="array" aca="1" ref="K3" ca="1">"PTO Reset: 02/12/" &amp; (RIGHT(CELL("filename",A2),LEN(CELL("filename",A2))-SEARCH("]",CELL("filename",A2)))) + 1</f>
        <v>PTO Reset: 02/12/2027</v>
      </c>
    </row>
    <row r="4" spans="2:12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2" ht="15.75" thickBot="1">
      <c r="B5" s="6" t="s">
        <v>5</v>
      </c>
      <c r="C5" s="7">
        <f ca="1">C3/8</f>
        <v>21.0625</v>
      </c>
      <c r="D5" s="7">
        <f ca="1">D3/8</f>
        <v>21.0625</v>
      </c>
      <c r="E5" s="8">
        <f ca="1">E3/8</f>
        <v>0</v>
      </c>
    </row>
    <row r="6" spans="2:12">
      <c r="B6" s="9" t="s">
        <v>15</v>
      </c>
      <c r="C6" s="10">
        <v>40</v>
      </c>
      <c r="D6" s="10">
        <f>C6-E6</f>
        <v>15.999999999999993</v>
      </c>
      <c r="E6" s="11">
        <f>C6 - SUMIF(H14:H49, "Sick", G14:G49)</f>
        <v>24.000000000000007</v>
      </c>
    </row>
    <row r="7" spans="2:12" ht="15.75" thickBot="1">
      <c r="B7" s="12" t="s">
        <v>16</v>
      </c>
      <c r="C7" s="13">
        <f>C6/8</f>
        <v>5</v>
      </c>
      <c r="D7" s="13">
        <f>D6/8</f>
        <v>1.9999999999999991</v>
      </c>
      <c r="E7" s="14">
        <f>E6/8</f>
        <v>3.0000000000000009</v>
      </c>
    </row>
    <row r="8" spans="2:12">
      <c r="B8" s="5" t="s">
        <v>7</v>
      </c>
      <c r="C8" s="2">
        <v>16</v>
      </c>
      <c r="D8" s="2">
        <f>C8-E8</f>
        <v>16</v>
      </c>
      <c r="E8" s="1">
        <f>C8 - SUMIF(H14:H49, "Be You", G14:G49)</f>
        <v>0</v>
      </c>
      <c r="K8" s="51"/>
    </row>
    <row r="9" spans="2:12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2">
      <c r="B10" s="127" t="s">
        <v>22</v>
      </c>
      <c r="C10" s="128">
        <v>4</v>
      </c>
      <c r="D10" s="128">
        <f>C10-E10</f>
        <v>0</v>
      </c>
      <c r="E10" s="129">
        <f>C10 - SUMIF(H14:H49, "Volunteer", G14:G49)</f>
        <v>4</v>
      </c>
      <c r="K10" s="36"/>
    </row>
    <row r="11" spans="2:12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>
        <v>46059</v>
      </c>
      <c r="C14" s="240" t="str">
        <f t="shared" ref="C14:C25" si="0">IF(ISNUMBER(FIND("?", B14, 1)), "TBD", TEXT(B14, "ddd"))</f>
        <v>Fri</v>
      </c>
      <c r="D14" s="241">
        <v>0.45833333333333331</v>
      </c>
      <c r="E14" s="241">
        <v>0.66666666666666663</v>
      </c>
      <c r="F14" s="257">
        <f>((E14 - D14) * 24)</f>
        <v>5</v>
      </c>
      <c r="G14" s="240">
        <f t="shared" ref="G14:G25" si="1">IF(F14 &gt; 4, (F14 - 1), F14)</f>
        <v>4</v>
      </c>
      <c r="H14" s="242" t="s">
        <v>10</v>
      </c>
      <c r="I14" s="196" t="s">
        <v>20</v>
      </c>
      <c r="J14" s="196" t="s">
        <v>20</v>
      </c>
      <c r="K14" s="243" t="s">
        <v>67</v>
      </c>
      <c r="L14" s="42" t="str">
        <f t="shared" ref="L14:L25" ca="1" si="2">IF(C14 = "TBD", "TBD", IF(B14 = "", "IDK!!", IF(TODAY() &gt; B14, "Passed", IF(TODAY() = B14, "Today!!", "Upcoming"))))</f>
        <v>Passed</v>
      </c>
    </row>
    <row r="15" spans="2:12" ht="15.75" thickBot="1">
      <c r="B15" s="306">
        <v>46080</v>
      </c>
      <c r="C15" s="307" t="str">
        <f t="shared" si="0"/>
        <v>Fri</v>
      </c>
      <c r="D15" s="308">
        <v>0.29166666666666669</v>
      </c>
      <c r="E15" s="308">
        <v>0.66666666666666663</v>
      </c>
      <c r="F15" s="309">
        <f>((E15 - D15) * 24)</f>
        <v>8.9999999999999982</v>
      </c>
      <c r="G15" s="307">
        <f>IF(F15 &gt; 4, (F15 - 1), F15)</f>
        <v>7.9999999999999982</v>
      </c>
      <c r="H15" s="310" t="s">
        <v>68</v>
      </c>
      <c r="I15" s="244" t="s">
        <v>20</v>
      </c>
      <c r="J15" s="244" t="s">
        <v>20</v>
      </c>
      <c r="K15" s="311" t="s">
        <v>69</v>
      </c>
      <c r="L15" s="60" t="str">
        <f t="shared" ca="1" si="2"/>
        <v>Passed</v>
      </c>
    </row>
    <row r="16" spans="2:12" ht="15.75" thickBot="1">
      <c r="B16" s="282">
        <v>46093</v>
      </c>
      <c r="C16" s="312" t="str">
        <f t="shared" ref="C16" si="3">IF(ISNUMBER(FIND("?", B16, 1)), "TBD", TEXT(B16, "ddd"))</f>
        <v>Thu</v>
      </c>
      <c r="D16" s="313">
        <v>0.625</v>
      </c>
      <c r="E16" s="313">
        <v>0.66666666666666663</v>
      </c>
      <c r="F16" s="314">
        <f>((E16 - D16) * 24)</f>
        <v>0.99999999999999911</v>
      </c>
      <c r="G16" s="312">
        <f>IF(F16 &gt; 4, (F16 - 1), F16)</f>
        <v>0.99999999999999911</v>
      </c>
      <c r="H16" s="315" t="s">
        <v>68</v>
      </c>
      <c r="I16" s="244" t="s">
        <v>20</v>
      </c>
      <c r="J16" s="327" t="s">
        <v>20</v>
      </c>
      <c r="K16" s="288" t="s">
        <v>70</v>
      </c>
      <c r="L16" s="60" t="str">
        <f t="shared" ca="1" si="2"/>
        <v>Passed</v>
      </c>
    </row>
    <row r="17" spans="2:12">
      <c r="B17" s="289">
        <v>46150</v>
      </c>
      <c r="C17" s="290" t="str">
        <f>IF(ISNUMBER(FIND("?", B17, 1)), "TBD", TEXT(B17, "ddd"))</f>
        <v>Fri</v>
      </c>
      <c r="D17" s="291">
        <v>0.29166666666666669</v>
      </c>
      <c r="E17" s="291">
        <v>0.66666666666666663</v>
      </c>
      <c r="F17" s="136">
        <f>((E17 - D17) * 24)</f>
        <v>8.9999999999999982</v>
      </c>
      <c r="G17" s="290">
        <f>IF(F17 &gt; 4, (F17 - 1), F17)</f>
        <v>7.9999999999999982</v>
      </c>
      <c r="H17" s="293" t="s">
        <v>4</v>
      </c>
      <c r="I17" s="197" t="s">
        <v>20</v>
      </c>
      <c r="J17" s="197" t="s">
        <v>20</v>
      </c>
      <c r="K17" s="294" t="s">
        <v>73</v>
      </c>
      <c r="L17" s="47" t="str">
        <f ca="1">IF(C17 = "TBD", "TBD", IF(B17 = "", "IDK!!", IF(TODAY() &gt; B17, "Passed", IF(TODAY() = B17, "Today!!", "Upcoming"))))</f>
        <v>Passed</v>
      </c>
    </row>
    <row r="18" spans="2:12">
      <c r="B18" s="270">
        <v>46164</v>
      </c>
      <c r="C18" s="271" t="str">
        <f>IF(ISNUMBER(FIND("?", B18, 1)), "TBD", TEXT(B18, "ddd"))</f>
        <v>Fri</v>
      </c>
      <c r="D18" s="354">
        <v>0.29166666666666669</v>
      </c>
      <c r="E18" s="354">
        <v>0.66666666666666663</v>
      </c>
      <c r="F18" s="76">
        <f t="shared" ref="F18:F25" si="4">((E18 - D18) * 24)</f>
        <v>8.9999999999999982</v>
      </c>
      <c r="G18" s="271">
        <f t="shared" si="1"/>
        <v>7.9999999999999982</v>
      </c>
      <c r="H18" s="272" t="s">
        <v>4</v>
      </c>
      <c r="I18" s="198" t="s">
        <v>20</v>
      </c>
      <c r="J18" s="198" t="s">
        <v>20</v>
      </c>
      <c r="K18" s="273" t="s">
        <v>86</v>
      </c>
      <c r="L18" s="193" t="str">
        <f t="shared" ca="1" si="2"/>
        <v>Passed</v>
      </c>
    </row>
    <row r="19" spans="2:12" ht="15.75" thickBot="1">
      <c r="B19" s="113">
        <v>46168</v>
      </c>
      <c r="C19" s="360" t="str">
        <f>IF(ISNUMBER(FIND("?", B19, 1)), "TBD", TEXT(B19, "ddd"))</f>
        <v>Tue</v>
      </c>
      <c r="D19" s="361">
        <v>0.64583333333333337</v>
      </c>
      <c r="E19" s="361">
        <v>0.66666666666666663</v>
      </c>
      <c r="F19" s="33">
        <f>((E19 - D19) * 24)</f>
        <v>0.49999999999999822</v>
      </c>
      <c r="G19" s="360">
        <f>IF(F19 &gt; 4, (F19 - 1), F19)</f>
        <v>0.49999999999999822</v>
      </c>
      <c r="H19" s="267" t="s">
        <v>4</v>
      </c>
      <c r="I19" s="244" t="s">
        <v>20</v>
      </c>
      <c r="J19" s="244" t="s">
        <v>20</v>
      </c>
      <c r="K19" s="268" t="s">
        <v>88</v>
      </c>
      <c r="L19" s="60" t="str">
        <f ca="1">IF(C19 = "TBD", "TBD", IF(B19 = "", "IDK!!", IF(TODAY() &gt; B19, "Passed", IF(TODAY() = B19, "Today!!", "Upcoming"))))</f>
        <v>Passed</v>
      </c>
    </row>
    <row r="20" spans="2:12" ht="30.75" thickBot="1">
      <c r="B20" s="103">
        <v>46196</v>
      </c>
      <c r="C20" s="362" t="str">
        <f>IF(ISNUMBER(FIND("?", B20, 1)), "TBD", TEXT(B20, "ddd"))</f>
        <v>Tue</v>
      </c>
      <c r="D20" s="363">
        <v>0.29166666666666669</v>
      </c>
      <c r="E20" s="363">
        <v>0.45833333333333331</v>
      </c>
      <c r="F20" s="364">
        <f>((E20 - D20) * 24)</f>
        <v>3.9999999999999991</v>
      </c>
      <c r="G20" s="362">
        <f>IF(F20 &gt; 4, (F20 - 1), F20)</f>
        <v>3.9999999999999991</v>
      </c>
      <c r="H20" s="365" t="s">
        <v>4</v>
      </c>
      <c r="I20" s="196" t="s">
        <v>20</v>
      </c>
      <c r="J20" s="196" t="s">
        <v>20</v>
      </c>
      <c r="K20" s="366" t="s">
        <v>90</v>
      </c>
      <c r="L20" s="42" t="str">
        <f ca="1">IF(C20 = "TBD", "TBD", IF(B20 = "", "IDK!!", IF(TODAY() &gt; B20, "Passed", IF(TODAY() = B20, "Today!!", "Upcoming"))))</f>
        <v>Passed</v>
      </c>
    </row>
    <row r="21" spans="2:12" ht="30.75" thickBot="1">
      <c r="B21" s="282">
        <v>46196</v>
      </c>
      <c r="C21" s="283" t="str">
        <f>IF(ISNUMBER(FIND("?", B21, 1)), "TBD", TEXT(B21, "ddd"))</f>
        <v>Tue</v>
      </c>
      <c r="D21" s="284">
        <v>0.5</v>
      </c>
      <c r="E21" s="284">
        <v>0.66666666666666663</v>
      </c>
      <c r="F21" s="232">
        <f>((E21 - D21) * 24)</f>
        <v>3.9999999999999991</v>
      </c>
      <c r="G21" s="230">
        <f>IF(F21 &gt; 4, (F21 - 1), F21)</f>
        <v>3.9999999999999991</v>
      </c>
      <c r="H21" s="286" t="s">
        <v>32</v>
      </c>
      <c r="I21" s="327" t="s">
        <v>20</v>
      </c>
      <c r="J21" s="327" t="s">
        <v>20</v>
      </c>
      <c r="K21" s="366" t="s">
        <v>90</v>
      </c>
      <c r="L21" s="67" t="str">
        <f ca="1">IF(C21 = "TBD", "TBD", IF(B21 = "", "IDK!!", IF(TODAY() &gt; B21, "Passed", IF(TODAY() = B21, "Today!!", "Upcoming"))))</f>
        <v>Passed</v>
      </c>
    </row>
    <row r="22" spans="2:12">
      <c r="B22" s="279">
        <v>46226</v>
      </c>
      <c r="C22" s="217" t="str">
        <f t="shared" si="0"/>
        <v>Thu</v>
      </c>
      <c r="D22" s="157">
        <v>0.45833333333333331</v>
      </c>
      <c r="E22" s="157">
        <v>0.66666666666666663</v>
      </c>
      <c r="F22" s="220">
        <f t="shared" si="4"/>
        <v>5</v>
      </c>
      <c r="G22" s="217">
        <f t="shared" si="1"/>
        <v>4</v>
      </c>
      <c r="H22" s="280" t="s">
        <v>4</v>
      </c>
      <c r="I22" s="196" t="s">
        <v>20</v>
      </c>
      <c r="J22" s="196" t="s">
        <v>20</v>
      </c>
      <c r="K22" s="281" t="s">
        <v>46</v>
      </c>
      <c r="L22" s="42" t="str">
        <f t="shared" ca="1" si="2"/>
        <v>Passed</v>
      </c>
    </row>
    <row r="23" spans="2:12">
      <c r="B23" s="337">
        <v>46227</v>
      </c>
      <c r="C23" s="338" t="str">
        <f>IF(ISNUMBER(FIND("?", B23, 1)), "TBD", TEXT(B23, "ddd"))</f>
        <v>Fri</v>
      </c>
      <c r="D23" s="339">
        <v>0.29166666666666669</v>
      </c>
      <c r="E23" s="339">
        <v>0.66666666666666663</v>
      </c>
      <c r="F23" s="221">
        <f>((E23 - D23) * 24)</f>
        <v>8.9999999999999982</v>
      </c>
      <c r="G23" s="338">
        <f>IF(F23 &gt; 4, (F23 - 1), F23)</f>
        <v>7.9999999999999982</v>
      </c>
      <c r="H23" s="340" t="s">
        <v>4</v>
      </c>
      <c r="I23" s="199" t="s">
        <v>20</v>
      </c>
      <c r="J23" s="199" t="s">
        <v>20</v>
      </c>
      <c r="K23" s="341" t="s">
        <v>46</v>
      </c>
      <c r="L23" s="59" t="str">
        <f ca="1">IF(C23 = "TBD", "TBD", IF(B23 = "", "IDK!!", IF(TODAY() &gt; B23, "Passed", IF(TODAY() = B23, "Today!!", "Upcoming"))))</f>
        <v>Passed</v>
      </c>
    </row>
    <row r="24" spans="2:12">
      <c r="B24" s="140">
        <v>46232</v>
      </c>
      <c r="C24" s="166" t="str">
        <f>IF(ISNUMBER(FIND("?", B24, 1)), "TBD", TEXT(B24, "ddd"))</f>
        <v>Wed</v>
      </c>
      <c r="D24" s="158">
        <v>0.54166666666666663</v>
      </c>
      <c r="E24" s="158">
        <v>0.66666666666666663</v>
      </c>
      <c r="F24" s="221">
        <f t="shared" si="4"/>
        <v>3</v>
      </c>
      <c r="G24" s="166">
        <f t="shared" si="1"/>
        <v>3</v>
      </c>
      <c r="H24" s="181" t="s">
        <v>4</v>
      </c>
      <c r="I24" s="198" t="s">
        <v>20</v>
      </c>
      <c r="J24" s="198" t="s">
        <v>20</v>
      </c>
      <c r="K24" s="206" t="s">
        <v>59</v>
      </c>
      <c r="L24" s="329" t="str">
        <f t="shared" ca="1" si="2"/>
        <v>Passed</v>
      </c>
    </row>
    <row r="25" spans="2:12">
      <c r="B25" s="140">
        <v>46233</v>
      </c>
      <c r="C25" s="166" t="str">
        <f t="shared" si="0"/>
        <v>Thu</v>
      </c>
      <c r="D25" s="158">
        <v>0.45833333333333331</v>
      </c>
      <c r="E25" s="158">
        <v>0.66666666666666663</v>
      </c>
      <c r="F25" s="221">
        <f t="shared" si="4"/>
        <v>5</v>
      </c>
      <c r="G25" s="166">
        <f t="shared" si="1"/>
        <v>4</v>
      </c>
      <c r="H25" s="181" t="s">
        <v>4</v>
      </c>
      <c r="I25" s="198" t="s">
        <v>20</v>
      </c>
      <c r="J25" s="198" t="s">
        <v>20</v>
      </c>
      <c r="K25" s="206" t="s">
        <v>59</v>
      </c>
      <c r="L25" s="329" t="str">
        <f t="shared" ca="1" si="2"/>
        <v>Passed</v>
      </c>
    </row>
    <row r="26" spans="2:12" ht="15.75" thickBot="1">
      <c r="B26" s="330">
        <v>46234</v>
      </c>
      <c r="C26" s="331" t="str">
        <f t="shared" ref="C26:C47" si="5">IF(ISNUMBER(FIND("?", B26, 1)), "TBD", TEXT(B26, "ddd"))</f>
        <v>Fri</v>
      </c>
      <c r="D26" s="332">
        <v>0.45833333333333331</v>
      </c>
      <c r="E26" s="332">
        <v>0.66666666666666663</v>
      </c>
      <c r="F26" s="333">
        <f t="shared" ref="F26:F44" si="6">((E26 - D26) * 24)</f>
        <v>5</v>
      </c>
      <c r="G26" s="331">
        <f t="shared" ref="G26:G47" si="7">IF(F26 &gt; 4, (F26 - 1), F26)</f>
        <v>4</v>
      </c>
      <c r="H26" s="334" t="s">
        <v>4</v>
      </c>
      <c r="I26" s="244" t="s">
        <v>20</v>
      </c>
      <c r="J26" s="244" t="s">
        <v>20</v>
      </c>
      <c r="K26" s="335" t="s">
        <v>59</v>
      </c>
      <c r="L26" s="336" t="str">
        <f t="shared" ref="L26:L47" ca="1" si="8">IF(C26 = "TBD", "TBD", IF(B26 = "", "IDK!!", IF(TODAY() &gt; B26, "Passed", IF(TODAY() = B26, "Today!!", "Upcoming"))))</f>
        <v>Passed</v>
      </c>
    </row>
    <row r="27" spans="2:12">
      <c r="B27" s="123">
        <v>46240</v>
      </c>
      <c r="C27" s="245" t="str">
        <f t="shared" si="5"/>
        <v>Thu</v>
      </c>
      <c r="D27" s="246">
        <v>0.45833333333333331</v>
      </c>
      <c r="E27" s="246">
        <v>0.66666666666666663</v>
      </c>
      <c r="F27" s="258">
        <f t="shared" si="6"/>
        <v>5</v>
      </c>
      <c r="G27" s="245">
        <f t="shared" si="7"/>
        <v>4</v>
      </c>
      <c r="H27" s="247" t="s">
        <v>4</v>
      </c>
      <c r="I27" s="199" t="s">
        <v>20</v>
      </c>
      <c r="J27" s="199" t="s">
        <v>20</v>
      </c>
      <c r="K27" s="248" t="s">
        <v>59</v>
      </c>
      <c r="L27" s="59" t="str">
        <f t="shared" ca="1" si="8"/>
        <v>Passed</v>
      </c>
    </row>
    <row r="28" spans="2:12">
      <c r="B28" s="249">
        <v>46241</v>
      </c>
      <c r="C28" s="245" t="str">
        <f t="shared" si="5"/>
        <v>Fri</v>
      </c>
      <c r="D28" s="246">
        <v>0.45833333333333331</v>
      </c>
      <c r="E28" s="246">
        <v>0.66666666666666663</v>
      </c>
      <c r="F28" s="258">
        <f t="shared" si="6"/>
        <v>5</v>
      </c>
      <c r="G28" s="245">
        <f t="shared" si="7"/>
        <v>4</v>
      </c>
      <c r="H28" s="247" t="s">
        <v>4</v>
      </c>
      <c r="I28" s="199" t="s">
        <v>20</v>
      </c>
      <c r="J28" s="199" t="s">
        <v>20</v>
      </c>
      <c r="K28" s="248" t="s">
        <v>59</v>
      </c>
      <c r="L28" s="59" t="str">
        <f t="shared" ca="1" si="8"/>
        <v>Passed</v>
      </c>
    </row>
    <row r="29" spans="2:12">
      <c r="B29" s="249">
        <v>46244</v>
      </c>
      <c r="C29" s="245" t="str">
        <f t="shared" si="5"/>
        <v>Mon</v>
      </c>
      <c r="D29" s="246">
        <v>0.45833333333333331</v>
      </c>
      <c r="E29" s="246">
        <v>0.66666666666666663</v>
      </c>
      <c r="F29" s="258">
        <f t="shared" si="6"/>
        <v>5</v>
      </c>
      <c r="G29" s="245">
        <f t="shared" si="7"/>
        <v>4</v>
      </c>
      <c r="H29" s="247" t="s">
        <v>4</v>
      </c>
      <c r="I29" s="199" t="s">
        <v>20</v>
      </c>
      <c r="J29" s="199" t="s">
        <v>20</v>
      </c>
      <c r="K29" s="248" t="s">
        <v>39</v>
      </c>
      <c r="L29" s="59" t="str">
        <f t="shared" ca="1" si="8"/>
        <v>Passed</v>
      </c>
    </row>
    <row r="30" spans="2:12">
      <c r="B30" s="249">
        <v>46245</v>
      </c>
      <c r="C30" s="245" t="str">
        <f t="shared" si="5"/>
        <v>Tue</v>
      </c>
      <c r="D30" s="246">
        <v>0.45833333333333331</v>
      </c>
      <c r="E30" s="246">
        <v>0.66666666666666663</v>
      </c>
      <c r="F30" s="258">
        <f t="shared" si="6"/>
        <v>5</v>
      </c>
      <c r="G30" s="245">
        <f t="shared" si="7"/>
        <v>4</v>
      </c>
      <c r="H30" s="247" t="s">
        <v>4</v>
      </c>
      <c r="I30" s="199" t="s">
        <v>20</v>
      </c>
      <c r="J30" s="199" t="s">
        <v>20</v>
      </c>
      <c r="K30" s="248" t="s">
        <v>39</v>
      </c>
      <c r="L30" s="59" t="str">
        <f t="shared" ca="1" si="8"/>
        <v>Passed</v>
      </c>
    </row>
    <row r="31" spans="2:12" ht="30">
      <c r="B31" s="249">
        <v>46246</v>
      </c>
      <c r="C31" s="245" t="str">
        <f>IF(ISNUMBER(FIND("?", B31, 1)), "TBD", TEXT(B31, "ddd"))</f>
        <v>Wed</v>
      </c>
      <c r="D31" s="246">
        <v>0.29166666666666669</v>
      </c>
      <c r="E31" s="246">
        <v>0.45833333333333331</v>
      </c>
      <c r="F31" s="258">
        <f>((E31 - D31) * 24)</f>
        <v>3.9999999999999991</v>
      </c>
      <c r="G31" s="245">
        <f>IF(F31 &gt; 4, (F31 - 1), F31)</f>
        <v>3.9999999999999991</v>
      </c>
      <c r="H31" s="247" t="s">
        <v>32</v>
      </c>
      <c r="I31" s="199" t="s">
        <v>20</v>
      </c>
      <c r="J31" s="199" t="s">
        <v>20</v>
      </c>
      <c r="K31" s="248" t="s">
        <v>91</v>
      </c>
      <c r="L31" s="59" t="str">
        <f ca="1">IF(C31 = "TBD", "TBD", IF(B31 = "", "IDK!!", IF(TODAY() &gt; B31, "Passed", IF(TODAY() = B31, "Today!!", "Upcoming"))))</f>
        <v>Passed</v>
      </c>
    </row>
    <row r="32" spans="2:12" ht="30">
      <c r="B32" s="249">
        <v>46246</v>
      </c>
      <c r="C32" s="245" t="str">
        <f t="shared" si="5"/>
        <v>Wed</v>
      </c>
      <c r="D32" s="246">
        <v>0.45833333333333331</v>
      </c>
      <c r="E32" s="246">
        <v>0.66666666666666663</v>
      </c>
      <c r="F32" s="258">
        <f t="shared" si="6"/>
        <v>5</v>
      </c>
      <c r="G32" s="245">
        <f t="shared" si="7"/>
        <v>4</v>
      </c>
      <c r="H32" s="247" t="s">
        <v>4</v>
      </c>
      <c r="I32" s="199" t="s">
        <v>20</v>
      </c>
      <c r="J32" s="199" t="s">
        <v>20</v>
      </c>
      <c r="K32" s="248" t="s">
        <v>92</v>
      </c>
      <c r="L32" s="59" t="str">
        <f t="shared" ca="1" si="8"/>
        <v>Passed</v>
      </c>
    </row>
    <row r="33" spans="2:16">
      <c r="B33" s="250">
        <v>46247</v>
      </c>
      <c r="C33" s="245" t="str">
        <f t="shared" si="5"/>
        <v>Thu</v>
      </c>
      <c r="D33" s="246">
        <v>0.45833333333333331</v>
      </c>
      <c r="E33" s="246">
        <v>0.66666666666666663</v>
      </c>
      <c r="F33" s="258">
        <f t="shared" si="6"/>
        <v>5</v>
      </c>
      <c r="G33" s="245">
        <f t="shared" si="7"/>
        <v>4</v>
      </c>
      <c r="H33" s="247" t="s">
        <v>4</v>
      </c>
      <c r="I33" s="199" t="s">
        <v>20</v>
      </c>
      <c r="J33" s="199" t="s">
        <v>20</v>
      </c>
      <c r="K33" s="248" t="s">
        <v>39</v>
      </c>
      <c r="L33" s="59" t="str">
        <f t="shared" ca="1" si="8"/>
        <v>Passed</v>
      </c>
    </row>
    <row r="34" spans="2:16">
      <c r="B34" s="250">
        <v>46248</v>
      </c>
      <c r="C34" s="245" t="str">
        <f t="shared" si="5"/>
        <v>Fri</v>
      </c>
      <c r="D34" s="246">
        <v>0.45833333333333331</v>
      </c>
      <c r="E34" s="246">
        <v>0.66666666666666663</v>
      </c>
      <c r="F34" s="258">
        <f t="shared" si="6"/>
        <v>5</v>
      </c>
      <c r="G34" s="245">
        <f t="shared" si="7"/>
        <v>4</v>
      </c>
      <c r="H34" s="247" t="s">
        <v>4</v>
      </c>
      <c r="I34" s="199" t="s">
        <v>20</v>
      </c>
      <c r="J34" s="199" t="s">
        <v>20</v>
      </c>
      <c r="K34" s="248" t="s">
        <v>39</v>
      </c>
      <c r="L34" s="59" t="str">
        <f t="shared" ca="1" si="8"/>
        <v>Passed</v>
      </c>
    </row>
    <row r="35" spans="2:16" ht="15.75" thickBot="1">
      <c r="B35" s="250">
        <v>46253</v>
      </c>
      <c r="C35" s="245" t="str">
        <f t="shared" si="5"/>
        <v>Wed</v>
      </c>
      <c r="D35" s="246">
        <v>0.29166666666666669</v>
      </c>
      <c r="E35" s="246">
        <v>0.5</v>
      </c>
      <c r="F35" s="258">
        <f t="shared" si="6"/>
        <v>5</v>
      </c>
      <c r="G35" s="245">
        <f t="shared" si="7"/>
        <v>4</v>
      </c>
      <c r="H35" s="247" t="s">
        <v>4</v>
      </c>
      <c r="I35" s="199" t="s">
        <v>20</v>
      </c>
      <c r="J35" s="199" t="s">
        <v>20</v>
      </c>
      <c r="K35" s="248" t="s">
        <v>71</v>
      </c>
      <c r="L35" s="59" t="str">
        <f t="shared" ca="1" si="8"/>
        <v>Passed</v>
      </c>
    </row>
    <row r="36" spans="2:16" ht="15.75" thickBot="1">
      <c r="B36" s="105">
        <v>46269</v>
      </c>
      <c r="C36" s="170" t="str">
        <f t="shared" ref="C36:C38" si="9">IF(ISNUMBER(FIND("?", B36, 1)), "TBD", TEXT(B36, "ddd"))</f>
        <v>Fri</v>
      </c>
      <c r="D36" s="160">
        <v>0.45833333333333331</v>
      </c>
      <c r="E36" s="160">
        <v>0.66666666666666663</v>
      </c>
      <c r="F36" s="224">
        <f t="shared" ref="F36:F38" si="10">((E36 - D36) * 24)</f>
        <v>5</v>
      </c>
      <c r="G36" s="170">
        <f t="shared" ref="G36:G38" si="11">IF(F36 &gt; 4, (F36 - 1), F36)</f>
        <v>4</v>
      </c>
      <c r="H36" s="185" t="s">
        <v>4</v>
      </c>
      <c r="I36" s="196" t="s">
        <v>20</v>
      </c>
      <c r="J36" s="196" t="s">
        <v>20</v>
      </c>
      <c r="K36" s="210" t="s">
        <v>24</v>
      </c>
      <c r="L36" s="42" t="str">
        <f t="shared" ref="L36:L38" ca="1" si="12">IF(C36 = "TBD", "TBD", IF(B36 = "", "IDK!!", IF(TODAY() &gt; B36, "Passed", IF(TODAY() = B36, "Today!!", "Upcoming"))))</f>
        <v>Passed</v>
      </c>
    </row>
    <row r="37" spans="2:16" ht="15.75" thickBot="1">
      <c r="B37" s="322">
        <v>46275</v>
      </c>
      <c r="C37" s="323" t="str">
        <f t="shared" si="9"/>
        <v>Thu</v>
      </c>
      <c r="D37" s="324">
        <v>0.41666666666666669</v>
      </c>
      <c r="E37" s="324">
        <v>0.45833333333333331</v>
      </c>
      <c r="F37" s="325">
        <f t="shared" si="10"/>
        <v>0.99999999999999911</v>
      </c>
      <c r="G37" s="323">
        <f t="shared" si="11"/>
        <v>0.99999999999999911</v>
      </c>
      <c r="H37" s="326" t="s">
        <v>4</v>
      </c>
      <c r="I37" s="327" t="s">
        <v>20</v>
      </c>
      <c r="J37" s="327" t="s">
        <v>20</v>
      </c>
      <c r="K37" s="328" t="s">
        <v>72</v>
      </c>
      <c r="L37" s="67" t="str">
        <f t="shared" ca="1" si="12"/>
        <v>Passed</v>
      </c>
      <c r="N37" s="342" t="s">
        <v>74</v>
      </c>
      <c r="O37" s="98" t="s">
        <v>75</v>
      </c>
      <c r="P37" s="200" t="s">
        <v>2</v>
      </c>
    </row>
    <row r="38" spans="2:16">
      <c r="B38" s="107">
        <v>46275</v>
      </c>
      <c r="C38" s="172" t="str">
        <f t="shared" si="9"/>
        <v>Thu</v>
      </c>
      <c r="D38" s="162">
        <v>0.29166666666666669</v>
      </c>
      <c r="E38" s="162">
        <v>0.41666666666666669</v>
      </c>
      <c r="F38" s="367">
        <f t="shared" si="10"/>
        <v>3</v>
      </c>
      <c r="G38" s="172">
        <f t="shared" si="11"/>
        <v>3</v>
      </c>
      <c r="H38" s="187" t="s">
        <v>10</v>
      </c>
      <c r="I38" s="202" t="s">
        <v>20</v>
      </c>
      <c r="J38" s="202" t="s">
        <v>20</v>
      </c>
      <c r="K38" s="212" t="s">
        <v>72</v>
      </c>
      <c r="L38" s="251" t="str">
        <f t="shared" ca="1" si="12"/>
        <v>Passed</v>
      </c>
      <c r="N38" s="348" t="s">
        <v>76</v>
      </c>
      <c r="O38" s="349">
        <v>2024</v>
      </c>
      <c r="P38" s="350">
        <v>160</v>
      </c>
    </row>
    <row r="39" spans="2:16" ht="15.75" thickBot="1">
      <c r="B39" s="316">
        <v>46275</v>
      </c>
      <c r="C39" s="317" t="str">
        <f t="shared" ref="C39" si="13">IF(ISNUMBER(FIND("?", B39, 1)), "TBD", TEXT(B39, "ddd"))</f>
        <v>Thu</v>
      </c>
      <c r="D39" s="318">
        <v>0.5</v>
      </c>
      <c r="E39" s="318">
        <v>0.66666666666666663</v>
      </c>
      <c r="F39" s="319">
        <f t="shared" ref="F39:F41" si="14">((E39 - D39) * 24)</f>
        <v>3.9999999999999991</v>
      </c>
      <c r="G39" s="317">
        <f t="shared" ref="G39:G41" si="15">IF(F39 &gt; 4, (F39 - 1), F39)</f>
        <v>3.9999999999999991</v>
      </c>
      <c r="H39" s="320" t="s">
        <v>32</v>
      </c>
      <c r="I39" s="244" t="s">
        <v>20</v>
      </c>
      <c r="J39" s="244" t="s">
        <v>20</v>
      </c>
      <c r="K39" s="321" t="s">
        <v>93</v>
      </c>
      <c r="L39" s="60" t="str">
        <f t="shared" ref="L39:L41" ca="1" si="16">IF(C39 = "TBD", "TBD", IF(B39 = "", "IDK!!", IF(TODAY() &gt; B39, "Passed", IF(TODAY() = B39, "Today!!", "Upcoming"))))</f>
        <v>Passed</v>
      </c>
      <c r="N39" s="351"/>
      <c r="O39" s="352"/>
      <c r="P39" s="353"/>
    </row>
    <row r="40" spans="2:16">
      <c r="B40" s="295">
        <v>46297</v>
      </c>
      <c r="C40" s="296" t="str">
        <f>IF(ISNUMBER(FIND("?", B40, 1)), "TBD", TEXT(B40, "ddd"))</f>
        <v>Fri</v>
      </c>
      <c r="D40" s="297">
        <v>0.29166666666666669</v>
      </c>
      <c r="E40" s="297">
        <v>0.375</v>
      </c>
      <c r="F40" s="298">
        <f t="shared" si="14"/>
        <v>1.9999999999999996</v>
      </c>
      <c r="G40" s="296">
        <f t="shared" si="15"/>
        <v>1.9999999999999996</v>
      </c>
      <c r="H40" s="299" t="s">
        <v>32</v>
      </c>
      <c r="I40" s="196" t="s">
        <v>28</v>
      </c>
      <c r="J40" s="196" t="s">
        <v>28</v>
      </c>
      <c r="K40" s="368" t="s">
        <v>94</v>
      </c>
      <c r="L40" s="42" t="str">
        <f t="shared" ca="1" si="16"/>
        <v>Upcoming</v>
      </c>
      <c r="N40" s="351"/>
      <c r="O40" s="352"/>
      <c r="P40" s="353"/>
    </row>
    <row r="41" spans="2:16" ht="15.75" thickBot="1">
      <c r="B41" s="369">
        <v>46297</v>
      </c>
      <c r="C41" s="370" t="str">
        <f>IF(ISNUMBER(FIND("?", B41, 1)), "TBD", TEXT(B41, "ddd"))</f>
        <v>Fri</v>
      </c>
      <c r="D41" s="371">
        <v>0.58333333333333337</v>
      </c>
      <c r="E41" s="371">
        <v>0.66666666666666663</v>
      </c>
      <c r="F41" s="372">
        <f t="shared" si="14"/>
        <v>1.9999999999999982</v>
      </c>
      <c r="G41" s="370">
        <f t="shared" si="15"/>
        <v>1.9999999999999982</v>
      </c>
      <c r="H41" s="373" t="s">
        <v>32</v>
      </c>
      <c r="I41" s="244" t="s">
        <v>28</v>
      </c>
      <c r="J41" s="244" t="s">
        <v>28</v>
      </c>
      <c r="K41" s="374" t="s">
        <v>94</v>
      </c>
      <c r="L41" s="60" t="str">
        <f t="shared" ca="1" si="16"/>
        <v>Upcoming</v>
      </c>
      <c r="N41" s="351"/>
      <c r="O41" s="352"/>
      <c r="P41" s="353"/>
    </row>
    <row r="42" spans="2:16" ht="15.75" thickBot="1">
      <c r="B42" s="124">
        <v>46353</v>
      </c>
      <c r="C42" s="173" t="str">
        <f t="shared" si="5"/>
        <v>Fri</v>
      </c>
      <c r="D42" s="155">
        <v>0.29166666666666669</v>
      </c>
      <c r="E42" s="155">
        <v>0.66666666666666663</v>
      </c>
      <c r="F42" s="226">
        <f t="shared" si="6"/>
        <v>8.9999999999999982</v>
      </c>
      <c r="G42" s="173">
        <f t="shared" si="7"/>
        <v>7.9999999999999982</v>
      </c>
      <c r="H42" s="188" t="s">
        <v>4</v>
      </c>
      <c r="I42" s="200" t="s">
        <v>20</v>
      </c>
      <c r="J42" s="200" t="s">
        <v>20</v>
      </c>
      <c r="K42" s="269" t="s">
        <v>14</v>
      </c>
      <c r="L42" s="192" t="str">
        <f t="shared" ca="1" si="8"/>
        <v>Upcoming</v>
      </c>
      <c r="N42" s="351" t="s">
        <v>77</v>
      </c>
      <c r="O42" s="352">
        <f>O38+1</f>
        <v>2025</v>
      </c>
      <c r="P42" s="353">
        <v>160</v>
      </c>
    </row>
    <row r="43" spans="2:16">
      <c r="B43" s="112">
        <v>46380</v>
      </c>
      <c r="C43" s="264" t="str">
        <f t="shared" si="5"/>
        <v>Thu</v>
      </c>
      <c r="D43" s="262">
        <v>0.29166666666666669</v>
      </c>
      <c r="E43" s="262">
        <v>0.66666666666666663</v>
      </c>
      <c r="F43" s="263">
        <f t="shared" si="6"/>
        <v>8.9999999999999982</v>
      </c>
      <c r="G43" s="264">
        <f t="shared" si="7"/>
        <v>7.9999999999999982</v>
      </c>
      <c r="H43" s="265" t="s">
        <v>4</v>
      </c>
      <c r="I43" s="196" t="s">
        <v>20</v>
      </c>
      <c r="J43" s="196" t="s">
        <v>20</v>
      </c>
      <c r="K43" s="266" t="s">
        <v>60</v>
      </c>
      <c r="L43" s="42" t="str">
        <f t="shared" ca="1" si="8"/>
        <v>Upcoming</v>
      </c>
      <c r="N43" s="343" t="s">
        <v>78</v>
      </c>
      <c r="O43" s="70">
        <f>O42+1</f>
        <v>2026</v>
      </c>
      <c r="P43" s="344">
        <v>160</v>
      </c>
    </row>
    <row r="44" spans="2:16">
      <c r="B44" s="120">
        <v>46384</v>
      </c>
      <c r="C44" s="274" t="str">
        <f t="shared" si="5"/>
        <v>Mon</v>
      </c>
      <c r="D44" s="275">
        <v>0.29166666666666669</v>
      </c>
      <c r="E44" s="275">
        <v>0.66666666666666663</v>
      </c>
      <c r="F44" s="276">
        <f t="shared" si="6"/>
        <v>8.9999999999999982</v>
      </c>
      <c r="G44" s="274">
        <f t="shared" si="7"/>
        <v>7.9999999999999982</v>
      </c>
      <c r="H44" s="277" t="s">
        <v>4</v>
      </c>
      <c r="I44" s="199" t="s">
        <v>20</v>
      </c>
      <c r="J44" s="199" t="s">
        <v>20</v>
      </c>
      <c r="K44" s="278" t="s">
        <v>60</v>
      </c>
      <c r="L44" s="59" t="str">
        <f t="shared" ca="1" si="8"/>
        <v>Upcoming</v>
      </c>
      <c r="N44" s="343" t="s">
        <v>79</v>
      </c>
      <c r="O44" s="70">
        <f t="shared" ref="O44:O50" si="17">O43+1</f>
        <v>2027</v>
      </c>
      <c r="P44" s="344">
        <v>160</v>
      </c>
    </row>
    <row r="45" spans="2:16">
      <c r="B45" s="270">
        <v>46385</v>
      </c>
      <c r="C45" s="271" t="str">
        <f t="shared" si="5"/>
        <v>Tue</v>
      </c>
      <c r="D45" s="275">
        <v>0.29166666666666669</v>
      </c>
      <c r="E45" s="275">
        <v>0.66666666666666663</v>
      </c>
      <c r="F45" s="276">
        <f t="shared" ref="F45:F47" si="18">((E45 - D45) * 24)</f>
        <v>8.9999999999999982</v>
      </c>
      <c r="G45" s="274">
        <f t="shared" si="7"/>
        <v>7.9999999999999982</v>
      </c>
      <c r="H45" s="272" t="s">
        <v>4</v>
      </c>
      <c r="I45" s="198" t="s">
        <v>20</v>
      </c>
      <c r="J45" s="198" t="s">
        <v>20</v>
      </c>
      <c r="K45" s="273" t="s">
        <v>60</v>
      </c>
      <c r="L45" s="193" t="str">
        <f t="shared" ca="1" si="8"/>
        <v>Upcoming</v>
      </c>
      <c r="N45" s="343" t="s">
        <v>80</v>
      </c>
      <c r="O45" s="70">
        <f t="shared" si="17"/>
        <v>2028</v>
      </c>
      <c r="P45" s="344">
        <v>176</v>
      </c>
    </row>
    <row r="46" spans="2:16">
      <c r="B46" s="270">
        <v>46386</v>
      </c>
      <c r="C46" s="271" t="str">
        <f t="shared" si="5"/>
        <v>Wed</v>
      </c>
      <c r="D46" s="275">
        <v>0.29166666666666669</v>
      </c>
      <c r="E46" s="275">
        <v>0.66666666666666663</v>
      </c>
      <c r="F46" s="276">
        <f t="shared" si="18"/>
        <v>8.9999999999999982</v>
      </c>
      <c r="G46" s="274">
        <f t="shared" si="7"/>
        <v>7.9999999999999982</v>
      </c>
      <c r="H46" s="272" t="s">
        <v>4</v>
      </c>
      <c r="I46" s="198" t="s">
        <v>20</v>
      </c>
      <c r="J46" s="198" t="s">
        <v>20</v>
      </c>
      <c r="K46" s="273" t="s">
        <v>60</v>
      </c>
      <c r="L46" s="193" t="str">
        <f t="shared" ca="1" si="8"/>
        <v>Upcoming</v>
      </c>
      <c r="N46" s="343" t="s">
        <v>81</v>
      </c>
      <c r="O46" s="70">
        <f t="shared" si="17"/>
        <v>2029</v>
      </c>
      <c r="P46" s="344">
        <v>176</v>
      </c>
    </row>
    <row r="47" spans="2:16" ht="15.75" thickBot="1">
      <c r="B47" s="113">
        <v>46387</v>
      </c>
      <c r="C47" s="271" t="str">
        <f t="shared" si="5"/>
        <v>Thu</v>
      </c>
      <c r="D47" s="275">
        <v>0.29166666666666669</v>
      </c>
      <c r="E47" s="275">
        <v>0.66666666666666663</v>
      </c>
      <c r="F47" s="276">
        <f t="shared" si="18"/>
        <v>8.9999999999999982</v>
      </c>
      <c r="G47" s="274">
        <f t="shared" si="7"/>
        <v>7.9999999999999982</v>
      </c>
      <c r="H47" s="267" t="s">
        <v>4</v>
      </c>
      <c r="I47" s="244" t="s">
        <v>20</v>
      </c>
      <c r="J47" s="244" t="s">
        <v>20</v>
      </c>
      <c r="K47" s="268" t="s">
        <v>60</v>
      </c>
      <c r="L47" s="193" t="str">
        <f t="shared" ca="1" si="8"/>
        <v>Upcoming</v>
      </c>
      <c r="N47" s="343" t="s">
        <v>82</v>
      </c>
      <c r="O47" s="70">
        <f t="shared" si="17"/>
        <v>2030</v>
      </c>
      <c r="P47" s="344">
        <v>176</v>
      </c>
    </row>
    <row r="48" spans="2:16">
      <c r="B48" s="102"/>
      <c r="C48" s="165" t="str">
        <f t="shared" ref="C48:C49" si="19">IF(ISNUMBER(FIND("?", B48, 1)), "TBD", TEXT(B48, "ddd"))</f>
        <v>Sat</v>
      </c>
      <c r="D48" s="157"/>
      <c r="E48" s="157"/>
      <c r="F48" s="220">
        <f t="shared" ref="F48:F49" si="20">((E48 - D48) * 24)</f>
        <v>0</v>
      </c>
      <c r="G48" s="217">
        <f t="shared" ref="G48:G49" si="21">IF(F48 &gt; 4, (F48 - 1), F48)</f>
        <v>0</v>
      </c>
      <c r="H48" s="180"/>
      <c r="I48" s="197" t="s">
        <v>66</v>
      </c>
      <c r="J48" s="197" t="s">
        <v>66</v>
      </c>
      <c r="K48" s="205"/>
      <c r="L48" s="252" t="str">
        <f t="shared" ref="L48:L49" ca="1" si="22">IF(C48 = "TBD", "TBD", IF(B48 = "", "IDK!!", IF(TODAY() &gt; B48, "Passed", IF(TODAY() = B48, "Today!!", "Upcoming"))))</f>
        <v>IDK!!</v>
      </c>
      <c r="N48" s="343" t="s">
        <v>83</v>
      </c>
      <c r="O48" s="70">
        <f t="shared" si="17"/>
        <v>2031</v>
      </c>
      <c r="P48" s="344">
        <v>176</v>
      </c>
    </row>
    <row r="49" spans="2:16" ht="15.75" thickBot="1">
      <c r="B49" s="259"/>
      <c r="C49" s="253" t="str">
        <f t="shared" si="19"/>
        <v>Sat</v>
      </c>
      <c r="D49" s="260"/>
      <c r="E49" s="260"/>
      <c r="F49" s="261">
        <f t="shared" si="20"/>
        <v>0</v>
      </c>
      <c r="G49" s="253">
        <f t="shared" si="21"/>
        <v>0</v>
      </c>
      <c r="H49" s="254"/>
      <c r="I49" s="202" t="s">
        <v>66</v>
      </c>
      <c r="J49" s="202" t="s">
        <v>66</v>
      </c>
      <c r="K49" s="255"/>
      <c r="L49" s="251" t="str">
        <f t="shared" ca="1" si="22"/>
        <v>IDK!!</v>
      </c>
      <c r="N49" s="343" t="s">
        <v>84</v>
      </c>
      <c r="O49" s="70">
        <f t="shared" si="17"/>
        <v>2032</v>
      </c>
      <c r="P49" s="344">
        <v>176</v>
      </c>
    </row>
    <row r="50" spans="2:16" ht="15.75" thickBot="1">
      <c r="B50" s="86" t="s">
        <v>11</v>
      </c>
      <c r="C50" s="303"/>
      <c r="D50" s="304"/>
      <c r="E50" s="305"/>
      <c r="F50" s="228">
        <f>SUM(F14:F49)</f>
        <v>183.5</v>
      </c>
      <c r="G50" s="256">
        <f>SUM(G14:G49)</f>
        <v>160.5</v>
      </c>
      <c r="H50" s="301"/>
      <c r="I50" s="302"/>
      <c r="J50" s="302"/>
      <c r="K50" s="302"/>
      <c r="L50" s="302"/>
      <c r="N50" s="345" t="s">
        <v>85</v>
      </c>
      <c r="O50" s="346">
        <f t="shared" si="17"/>
        <v>2033</v>
      </c>
      <c r="P50" s="347">
        <f>192 + 10</f>
        <v>202</v>
      </c>
    </row>
  </sheetData>
  <autoFilter ref="B13:K50" xr:uid="{4B51B8F7-4ACE-45CA-965B-2AD2897F333A}"/>
  <phoneticPr fontId="5" type="noConversion"/>
  <conditionalFormatting sqref="B14:L49">
    <cfRule type="expression" dxfId="20" priority="2">
      <formula>$L14="Passed"</formula>
    </cfRule>
  </conditionalFormatting>
  <conditionalFormatting sqref="C14:F49 L14:L49">
    <cfRule type="cellIs" dxfId="19" priority="3" operator="equal">
      <formula>"TBD"</formula>
    </cfRule>
  </conditionalFormatting>
  <conditionalFormatting sqref="E3 E5">
    <cfRule type="cellIs" dxfId="18" priority="4" operator="greaterThan">
      <formula>0</formula>
    </cfRule>
  </conditionalFormatting>
  <conditionalFormatting sqref="E3 E5:E11">
    <cfRule type="cellIs" dxfId="17" priority="6" operator="lessThanOrEqual">
      <formula>0</formula>
    </cfRule>
  </conditionalFormatting>
  <conditionalFormatting sqref="I14:J49">
    <cfRule type="cellIs" dxfId="16" priority="1" operator="equal">
      <formula>"N/A"</formula>
    </cfRule>
    <cfRule type="cellIs" dxfId="15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62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62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65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82">
        <v>45936</v>
      </c>
      <c r="C37" s="283" t="str">
        <f t="shared" si="0"/>
        <v>Mon</v>
      </c>
      <c r="D37" s="284">
        <v>0.29166666666666669</v>
      </c>
      <c r="E37" s="284">
        <v>0.66666666666666663</v>
      </c>
      <c r="F37" s="285">
        <f t="shared" si="6"/>
        <v>8.9999999999999982</v>
      </c>
      <c r="G37" s="283">
        <f t="shared" si="7"/>
        <v>7.9999999999999982</v>
      </c>
      <c r="H37" s="286" t="s">
        <v>32</v>
      </c>
      <c r="I37" s="287" t="s">
        <v>20</v>
      </c>
      <c r="J37" s="288" t="s">
        <v>63</v>
      </c>
      <c r="K37" s="67" t="str">
        <f t="shared" ca="1" si="3"/>
        <v>Passed</v>
      </c>
    </row>
    <row r="38" spans="2:11" ht="15.75" thickBot="1">
      <c r="B38" s="289">
        <v>45989</v>
      </c>
      <c r="C38" s="290" t="str">
        <f t="shared" ref="C38" si="8">IF(ISNUMBER(FIND("?", B38, 1)), "TBD", TEXT(B38, "ddd"))</f>
        <v>Fri</v>
      </c>
      <c r="D38" s="291">
        <v>0.29166666666666669</v>
      </c>
      <c r="E38" s="291">
        <v>0.66666666666666663</v>
      </c>
      <c r="F38" s="292">
        <f>((E38 - D38) * 24)</f>
        <v>8.9999999999999982</v>
      </c>
      <c r="G38" s="290">
        <f>IF(F38 &gt; 4, (F38 - 1), F38)</f>
        <v>7.9999999999999982</v>
      </c>
      <c r="H38" s="293" t="s">
        <v>4</v>
      </c>
      <c r="I38" s="197" t="s">
        <v>20</v>
      </c>
      <c r="J38" s="294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295">
        <v>45999</v>
      </c>
      <c r="C39" s="296" t="str">
        <f t="shared" si="0"/>
        <v>Mon</v>
      </c>
      <c r="D39" s="297">
        <v>0.60416666666666663</v>
      </c>
      <c r="E39" s="297">
        <v>0.66666666666666663</v>
      </c>
      <c r="F39" s="298">
        <f>((E39 - D39) * 24)</f>
        <v>1.5</v>
      </c>
      <c r="G39" s="296">
        <f>IF(F39 &gt; 4, (F39 - 1), F39)</f>
        <v>1.5</v>
      </c>
      <c r="H39" s="299" t="s">
        <v>32</v>
      </c>
      <c r="I39" s="196" t="s">
        <v>20</v>
      </c>
      <c r="J39" s="300" t="s">
        <v>61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64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65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2027</vt:lpstr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2026-09-17T16:27:10Z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